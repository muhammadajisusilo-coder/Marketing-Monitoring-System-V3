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BAHAN PANTAU" sheetId="1" state="visible" r:id="rId3"/>
    <sheet name="DATABASE RO" sheetId="2" state="visible" r:id="rId4"/>
    <sheet name="DATA VISIT" sheetId="3" state="visible" r:id="rId5"/>
    <sheet name="DATA VISIT TAMBAHAN" sheetId="4" state="visible" r:id="rId6"/>
    <sheet name="Sheet1" sheetId="5" state="visible" r:id="rId7"/>
  </sheets>
  <definedNames>
    <definedName function="false" hidden="true" localSheetId="2" name="_xlnm._FilterDatabase" vbProcedure="false">'DATA VISIT'!$B$4:$O$76</definedName>
    <definedName function="false" hidden="true" localSheetId="1" name="_xlnm._FilterDatabase" vbProcedure="false">'DATABASE RO'!$A$2:$M$185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<sst xmlns="http://schemas.openxmlformats.org/spreadsheetml/2006/main" count="7922" uniqueCount="3183">
  <si>
    <t xml:space="preserve">BY NO KONTRAK</t>
  </si>
  <si>
    <t xml:space="preserve">VLOOKUP NAMA</t>
  </si>
  <si>
    <t xml:space="preserve">COPAS DARI SINI</t>
  </si>
  <si>
    <t xml:space="preserve">TANGAL INJECT</t>
  </si>
  <si>
    <t xml:space="preserve">DATA PRIORITY</t>
  </si>
  <si>
    <t xml:space="preserve">NAMA CABANG</t>
  </si>
  <si>
    <t xml:space="preserve">NO KONTRAK</t>
  </si>
  <si>
    <t xml:space="preserve">NAMA KONSUMEN</t>
  </si>
  <si>
    <t xml:space="preserve">KETERANGAN</t>
  </si>
  <si>
    <t xml:space="preserve">CUS ID</t>
  </si>
  <si>
    <t xml:space="preserve">PA</t>
  </si>
  <si>
    <t xml:space="preserve">ALAMAT</t>
  </si>
  <si>
    <t xml:space="preserve">KELURAHAN</t>
  </si>
  <si>
    <t xml:space="preserve">KECAMATAN</t>
  </si>
  <si>
    <t xml:space="preserve">GOOGLE MAP</t>
  </si>
  <si>
    <t xml:space="preserve">RATING</t>
  </si>
  <si>
    <t xml:space="preserve">CEK VISIT</t>
  </si>
  <si>
    <t xml:space="preserve">NO HP</t>
  </si>
  <si>
    <t xml:space="preserve">P2</t>
  </si>
  <si>
    <t xml:space="preserve">KENDAL</t>
  </si>
  <si>
    <t xml:space="preserve">1057120231106521</t>
  </si>
  <si>
    <t xml:space="preserve">SUTARI</t>
  </si>
  <si>
    <t xml:space="preserve">Konsumen Aktif M 0 - 6 Lunas</t>
  </si>
  <si>
    <t xml:space="preserve">1057120240206718</t>
  </si>
  <si>
    <t xml:space="preserve">IRFAUDIN</t>
  </si>
  <si>
    <t xml:space="preserve">1057120251007882</t>
  </si>
  <si>
    <t xml:space="preserve">JURIYAH</t>
  </si>
  <si>
    <t xml:space="preserve">1061120250608474</t>
  </si>
  <si>
    <t xml:space="preserve">HADI KURNIAWAN</t>
  </si>
  <si>
    <t xml:space="preserve">1411120251008411</t>
  </si>
  <si>
    <t xml:space="preserve">PURWOTO</t>
  </si>
  <si>
    <t xml:space="preserve">1063120240104443</t>
  </si>
  <si>
    <t xml:space="preserve">Satoto</t>
  </si>
  <si>
    <t xml:space="preserve">1063120240304500</t>
  </si>
  <si>
    <t xml:space="preserve">NURHAYATI</t>
  </si>
  <si>
    <t xml:space="preserve">1063120240904763</t>
  </si>
  <si>
    <t xml:space="preserve">Imam khoirudin</t>
  </si>
  <si>
    <t xml:space="preserve">1063120241004777</t>
  </si>
  <si>
    <t xml:space="preserve">ACHMAD CHAIRUL ANAM</t>
  </si>
  <si>
    <t xml:space="preserve">1063120241004791</t>
  </si>
  <si>
    <t xml:space="preserve">HERMANTO</t>
  </si>
  <si>
    <t xml:space="preserve">1063120241004798</t>
  </si>
  <si>
    <t xml:space="preserve">SITI MASROFAH</t>
  </si>
  <si>
    <t xml:space="preserve">1063120241004807</t>
  </si>
  <si>
    <t xml:space="preserve">ANNAS MARZUKI</t>
  </si>
  <si>
    <t xml:space="preserve">1063120241104840</t>
  </si>
  <si>
    <t xml:space="preserve">CAHYA KARDININGSIH</t>
  </si>
  <si>
    <t xml:space="preserve">1063120241204874</t>
  </si>
  <si>
    <t xml:space="preserve">Riyantik</t>
  </si>
  <si>
    <t xml:space="preserve">1063120250104885</t>
  </si>
  <si>
    <t xml:space="preserve">Andy Purnomo aji</t>
  </si>
  <si>
    <t xml:space="preserve">1063120250104886</t>
  </si>
  <si>
    <t xml:space="preserve">AISI ULFA LUTHFIANA</t>
  </si>
  <si>
    <t xml:space="preserve">1063120250104897</t>
  </si>
  <si>
    <t xml:space="preserve">MUHLISIN</t>
  </si>
  <si>
    <t xml:space="preserve">1063120250104901</t>
  </si>
  <si>
    <t xml:space="preserve">PURNOMOSIDI</t>
  </si>
  <si>
    <t xml:space="preserve">1063120250104907</t>
  </si>
  <si>
    <t xml:space="preserve">TITIN GIARSI</t>
  </si>
  <si>
    <t xml:space="preserve">1063120250204915</t>
  </si>
  <si>
    <t xml:space="preserve">SITI ROHMAH</t>
  </si>
  <si>
    <t xml:space="preserve">1063120250204922</t>
  </si>
  <si>
    <t xml:space="preserve">AHMAD SAIFUL</t>
  </si>
  <si>
    <t xml:space="preserve">1063120250204926</t>
  </si>
  <si>
    <t xml:space="preserve">Sumarno</t>
  </si>
  <si>
    <t xml:space="preserve">1063120250204928</t>
  </si>
  <si>
    <t xml:space="preserve">Eli Finafatul Munawaroh</t>
  </si>
  <si>
    <t xml:space="preserve">1063120250204930</t>
  </si>
  <si>
    <t xml:space="preserve">ISROPI</t>
  </si>
  <si>
    <t xml:space="preserve">1063120250304942</t>
  </si>
  <si>
    <t xml:space="preserve">DWI TJONDRO SULISTIYOWATI</t>
  </si>
  <si>
    <t xml:space="preserve">1063120250304964</t>
  </si>
  <si>
    <t xml:space="preserve">SURYANTO</t>
  </si>
  <si>
    <t xml:space="preserve">1063120250404995</t>
  </si>
  <si>
    <t xml:space="preserve">NURSALIM</t>
  </si>
  <si>
    <t xml:space="preserve">1063120250505020</t>
  </si>
  <si>
    <t xml:space="preserve">SITI ROYATUN</t>
  </si>
  <si>
    <t xml:space="preserve">1063120250505029</t>
  </si>
  <si>
    <t xml:space="preserve">Minayati setiani</t>
  </si>
  <si>
    <t xml:space="preserve">1063120250505033</t>
  </si>
  <si>
    <t xml:space="preserve">Listiyo hardiman</t>
  </si>
  <si>
    <t xml:space="preserve">1063120250605071</t>
  </si>
  <si>
    <t xml:space="preserve">EKO SETIAWAN</t>
  </si>
  <si>
    <t xml:space="preserve">1063120250605074</t>
  </si>
  <si>
    <t xml:space="preserve">RASWI</t>
  </si>
  <si>
    <t xml:space="preserve">1063120250605084</t>
  </si>
  <si>
    <t xml:space="preserve">DEWI PURWATININGSIH</t>
  </si>
  <si>
    <t xml:space="preserve">1063120250605092</t>
  </si>
  <si>
    <t xml:space="preserve">AHMAD SOLEH</t>
  </si>
  <si>
    <t xml:space="preserve">1063120250705114</t>
  </si>
  <si>
    <t xml:space="preserve">WACHIDUN</t>
  </si>
  <si>
    <t xml:space="preserve">1063120250705121</t>
  </si>
  <si>
    <t xml:space="preserve">WITAKU ROHMAN</t>
  </si>
  <si>
    <t xml:space="preserve">1063120250705135</t>
  </si>
  <si>
    <t xml:space="preserve">MISRU</t>
  </si>
  <si>
    <t xml:space="preserve">1063120250705136</t>
  </si>
  <si>
    <t xml:space="preserve">SUDIRO</t>
  </si>
  <si>
    <t xml:space="preserve">1063120250705154</t>
  </si>
  <si>
    <t xml:space="preserve">RONAL EKA PRADITA</t>
  </si>
  <si>
    <t xml:space="preserve">1063120250805166</t>
  </si>
  <si>
    <t xml:space="preserve">MUH PUJI NUR HIDAYAT</t>
  </si>
  <si>
    <t xml:space="preserve">1063120250805167</t>
  </si>
  <si>
    <t xml:space="preserve">SURTI</t>
  </si>
  <si>
    <t xml:space="preserve">1063120250805189</t>
  </si>
  <si>
    <t xml:space="preserve">DEWI ERNAWATI</t>
  </si>
  <si>
    <t xml:space="preserve">1063120250805199</t>
  </si>
  <si>
    <t xml:space="preserve">Carkubi</t>
  </si>
  <si>
    <t xml:space="preserve">1063120250905206</t>
  </si>
  <si>
    <t xml:space="preserve">UMI ERNIATI</t>
  </si>
  <si>
    <t xml:space="preserve">1063120250905217</t>
  </si>
  <si>
    <t xml:space="preserve">AMRIZAL SATYA PRASADHA</t>
  </si>
  <si>
    <t xml:space="preserve">1063120250905222</t>
  </si>
  <si>
    <t xml:space="preserve">AHMAD SHONHAJI</t>
  </si>
  <si>
    <t xml:space="preserve">1063120250905224</t>
  </si>
  <si>
    <t xml:space="preserve">KAMSIN</t>
  </si>
  <si>
    <t xml:space="preserve">1063120250905227</t>
  </si>
  <si>
    <t xml:space="preserve">YAYUK INDRIAWATI</t>
  </si>
  <si>
    <t xml:space="preserve">1063120251005245</t>
  </si>
  <si>
    <t xml:space="preserve">SOKHIFUL ANAM</t>
  </si>
  <si>
    <t xml:space="preserve">1063120251005273</t>
  </si>
  <si>
    <t xml:space="preserve">Haryanto</t>
  </si>
  <si>
    <t xml:space="preserve">1063120251105297</t>
  </si>
  <si>
    <t xml:space="preserve">BUDI UTOMO</t>
  </si>
  <si>
    <t xml:space="preserve">1063120251105298</t>
  </si>
  <si>
    <t xml:space="preserve">SLAMET.S</t>
  </si>
  <si>
    <t xml:space="preserve">1063120251105306</t>
  </si>
  <si>
    <t xml:space="preserve">ENDAHWATI</t>
  </si>
  <si>
    <t xml:space="preserve">1063120251105309</t>
  </si>
  <si>
    <t xml:space="preserve">INDAH SETYONINGSIH</t>
  </si>
  <si>
    <t xml:space="preserve">1063120251205333</t>
  </si>
  <si>
    <t xml:space="preserve">RUNODHO</t>
  </si>
  <si>
    <t xml:space="preserve">1063120260105352</t>
  </si>
  <si>
    <t xml:space="preserve">SUGENG LISTIAWAN</t>
  </si>
  <si>
    <t xml:space="preserve">1063120260105354</t>
  </si>
  <si>
    <t xml:space="preserve">YUYUN PRAMITA</t>
  </si>
  <si>
    <t xml:space="preserve">1063120260105360</t>
  </si>
  <si>
    <t xml:space="preserve">SRI WIDANINGSIH</t>
  </si>
  <si>
    <t xml:space="preserve">1063120260105366</t>
  </si>
  <si>
    <t xml:space="preserve">KISYOTO HADIS</t>
  </si>
  <si>
    <t xml:space="preserve">1063120260205394</t>
  </si>
  <si>
    <t xml:space="preserve">TUTI GONDO MARTONO</t>
  </si>
  <si>
    <t xml:space="preserve">1063120260205399</t>
  </si>
  <si>
    <t xml:space="preserve">SUTOMO</t>
  </si>
  <si>
    <t xml:space="preserve">1577120241004913</t>
  </si>
  <si>
    <t xml:space="preserve">Zamahsari</t>
  </si>
  <si>
    <t xml:space="preserve">1641120250806460</t>
  </si>
  <si>
    <t xml:space="preserve">WAHYU FITA ERNAWATI</t>
  </si>
  <si>
    <t xml:space="preserve">1684120241200196</t>
  </si>
  <si>
    <t xml:space="preserve">LINDA PUSPITA</t>
  </si>
  <si>
    <t xml:space="preserve">P3</t>
  </si>
  <si>
    <t xml:space="preserve">1063120240104437</t>
  </si>
  <si>
    <t xml:space="preserve">ICHWAN SETIAWAN</t>
  </si>
  <si>
    <t xml:space="preserve">Uncontacted Telesales</t>
  </si>
  <si>
    <t xml:space="preserve">1063120231204395</t>
  </si>
  <si>
    <t xml:space="preserve">VANNI EKA PRASTIKNO</t>
  </si>
  <si>
    <t xml:space="preserve">1063120240704655</t>
  </si>
  <si>
    <t xml:space="preserve">HANA IHZA MAULANI</t>
  </si>
  <si>
    <t xml:space="preserve">1063120230504116</t>
  </si>
  <si>
    <t xml:space="preserve">KALMI</t>
  </si>
  <si>
    <t xml:space="preserve">1063120230504128</t>
  </si>
  <si>
    <t xml:space="preserve">SALMA AYU RAMADHANI</t>
  </si>
  <si>
    <t xml:space="preserve">1063120230504126</t>
  </si>
  <si>
    <t xml:space="preserve">ZAENAL ARIFIN</t>
  </si>
  <si>
    <t xml:space="preserve">1063120230604136</t>
  </si>
  <si>
    <t xml:space="preserve">MUKHAMAD ALDI PRASETYO</t>
  </si>
  <si>
    <t xml:space="preserve">1063120230604147</t>
  </si>
  <si>
    <t xml:space="preserve">SITI ROKHATUN</t>
  </si>
  <si>
    <t xml:space="preserve">1057120230706191</t>
  </si>
  <si>
    <t xml:space="preserve">TES</t>
  </si>
  <si>
    <t xml:space="preserve">Konsumen Lunas M +3</t>
  </si>
  <si>
    <t xml:space="preserve">CUS057120220508596</t>
  </si>
  <si>
    <t xml:space="preserve">BANYUPUTIH RT 004 /RW 001, Banyuputih, Banyuputih, KAB-Batang, 51271</t>
  </si>
  <si>
    <t xml:space="preserve">BANYUPUTIH</t>
  </si>
  <si>
    <t xml:space="preserve">Banyuputih</t>
  </si>
  <si>
    <t xml:space="preserve">https://www.google.com/maps?z=12&amp;t=m&amp;q=loc:-6.973941+109.927605</t>
  </si>
  <si>
    <t xml:space="preserve">082323656665</t>
  </si>
  <si>
    <t xml:space="preserve">P257000002990</t>
  </si>
  <si>
    <t xml:space="preserve">YES</t>
  </si>
  <si>
    <t xml:space="preserve">DUKUH KARANGANYAR RT 003 RW 003 KEDAWUNG BANYUPUTIH RT 003/003 RT 000 /RW 000, Kedawung, Banyuputih, KABUPATEN, 51271</t>
  </si>
  <si>
    <t xml:space="preserve">Kedawung</t>
  </si>
  <si>
    <t xml:space="preserve">TIDAK ADA</t>
  </si>
  <si>
    <t xml:space="preserve">EXCELLENT</t>
  </si>
  <si>
    <t xml:space="preserve">0852 - 26826959</t>
  </si>
  <si>
    <t xml:space="preserve">1057120240106633</t>
  </si>
  <si>
    <t xml:space="preserve">P19002006774</t>
  </si>
  <si>
    <t xml:space="preserve">NO</t>
  </si>
  <si>
    <t xml:space="preserve">DUKUH PENYANGKRINGAN RT 004 /RW 003, KARANGMULYO, PEGANDON, KENDAL, 51357 </t>
  </si>
  <si>
    <t xml:space="preserve">KARANGMULYO</t>
  </si>
  <si>
    <t xml:space="preserve">PEGANDON</t>
  </si>
  <si>
    <t xml:space="preserve">https://www.google.com/maps?z=12&amp;t=m&amp;q=loc:-6.970846+110.168210</t>
  </si>
  <si>
    <t xml:space="preserve">GOOD</t>
  </si>
  <si>
    <t xml:space="preserve">0821 - 35857798</t>
  </si>
  <si>
    <t xml:space="preserve">1057120240707039</t>
  </si>
  <si>
    <t xml:space="preserve">MUSTAR</t>
  </si>
  <si>
    <t xml:space="preserve">P057A002035742</t>
  </si>
  <si>
    <t xml:space="preserve">KEDAWUNG RT 001 RW 001 BANYUPUTIH BATANG RT 001 /RW 001, Kedawung, Banyuputih, KAB-Batang, 51271</t>
  </si>
  <si>
    <t xml:space="preserve">https://www.google.com/maps/place/6%C2%B055'39.5%22S+109%C2%B056'15.1%22E/@-6.9391466,109.8941779,12.75z/data=!4m4!3m3!8m2!3d-6.927641!4d109.937514?entry=ttu&amp;g_ep=EgoyMDI2MDExMy4wIKXMDSoKLDEwMDc5MjA3MUgBUAM%3D</t>
  </si>
  <si>
    <t xml:space="preserve">1057120240807157</t>
  </si>
  <si>
    <t xml:space="preserve">KASMANI</t>
  </si>
  <si>
    <t xml:space="preserve">P057A002039895</t>
  </si>
  <si>
    <t xml:space="preserve">BANYU PUTIH RT 006 /RW 002, Penundan, Banyuputih, KAB-Batang, 51281</t>
  </si>
  <si>
    <t xml:space="preserve">PENUNDAN</t>
  </si>
  <si>
    <t xml:space="preserve">https://www.google.com/maps/place/6%C2%B058'08.3%22S+109%C2%B057'13.3%22E/@-6.968979,109.9511181,17z/data=!3m1!4b1!4m4!3m3!8m2!3d-6.968979!4d109.953693?entry=ttu&amp;g_ep=EgoyMDI2MDIwMS4wIKXMDSoKLDEwMDc5MjA3MUgBUAM%3D</t>
  </si>
  <si>
    <t xml:space="preserve">1057120241107307</t>
  </si>
  <si>
    <t xml:space="preserve">RASMINI</t>
  </si>
  <si>
    <t xml:space="preserve">P19002038267</t>
  </si>
  <si>
    <t xml:space="preserve">PENUNDAN RT 002 /RW 001, Penundan, Banyuputih, KAB-Batang, 51281</t>
  </si>
  <si>
    <t xml:space="preserve">https://www.google.com/maps?z=12&amp;t=m&amp;q=loc:-6.968806+109.959341</t>
  </si>
  <si>
    <t xml:space="preserve">Tidak Bertemu</t>
  </si>
  <si>
    <t xml:space="preserve">0822 - 21986522</t>
  </si>
  <si>
    <t xml:space="preserve">1057120250707723</t>
  </si>
  <si>
    <t xml:space="preserve">FEFI RIASTUTI</t>
  </si>
  <si>
    <t xml:space="preserve">P257000005201</t>
  </si>
  <si>
    <t xml:space="preserve">DK. DIWEK RT 003 /RW 003, Wonokerto, Limpung, KAB-Batang, 51271</t>
  </si>
  <si>
    <t xml:space="preserve">WONOKERTO</t>
  </si>
  <si>
    <t xml:space="preserve">LIMPUNG</t>
  </si>
  <si>
    <t xml:space="preserve">https://www.google.com/maps?z=12&amp;t=m&amp;q=loc:-7.033076+109.905426</t>
  </si>
  <si>
    <t xml:space="preserve">0858 - 42554700</t>
  </si>
  <si>
    <t xml:space="preserve">P057A002039893</t>
  </si>
  <si>
    <t xml:space="preserve">PURBO RT 013 /RW 005, Purbo, Bawang, KAB-Batang, 51274</t>
  </si>
  <si>
    <t xml:space="preserve">PURBO</t>
  </si>
  <si>
    <t xml:space="preserve">BAWANG</t>
  </si>
  <si>
    <t xml:space="preserve">google.com/maps?z=12&amp;t=m&amp;q=loc:-7.079575+109.934911</t>
  </si>
  <si>
    <t xml:space="preserve">1061120231007213</t>
  </si>
  <si>
    <t xml:space="preserve">Sulami</t>
  </si>
  <si>
    <t xml:space="preserve">CUS061120200906136</t>
  </si>
  <si>
    <t xml:space="preserve">PERUM PKS NOLOKERTO RT 004 /RW 006, MUKIRAN, KALIWUNGU, KAB-Kendal, 50777</t>
  </si>
  <si>
    <t xml:space="preserve">MUKIRAN</t>
  </si>
  <si>
    <t xml:space="preserve">KEALIWUNGU</t>
  </si>
  <si>
    <t xml:space="preserve">https://www.google.com/maps?z=12&amp;t=m&amp;q=loc:-6.970127+110.254722</t>
  </si>
  <si>
    <t xml:space="preserve">0882 - 16483090</t>
  </si>
  <si>
    <t xml:space="preserve">P19002060234</t>
  </si>
  <si>
    <t xml:space="preserve">WONOREJO RT 002/005 RT 000 /RW 000, Wonorejo, Kaliwungu, KABUPATEN, 51372</t>
  </si>
  <si>
    <t xml:space="preserve">WONOREJO</t>
  </si>
  <si>
    <t xml:space="preserve">KALIWUNGU</t>
  </si>
  <si>
    <t xml:space="preserve">1063120210902480</t>
  </si>
  <si>
    <t xml:space="preserve">Konfirmasi Pasangan</t>
  </si>
  <si>
    <t xml:space="preserve">CUS063120210905364 </t>
  </si>
  <si>
    <t xml:space="preserve">KROMPAAN RT 004 /RW 004, Krompaan, Gemuh, KAB-Kendal, 51356 </t>
  </si>
  <si>
    <t xml:space="preserve">Krompaan</t>
  </si>
  <si>
    <t xml:space="preserve">Gemuh</t>
  </si>
  <si>
    <t xml:space="preserve">https://www.google.com/maps/place/7%C2%B001'19.5%22S+110%C2%B006'47.9%22E/@-7.022069,110.1107221,17z/data=!3m1!4b1!4m4!3m3!8m2!3d-7.022069!4d110.113297?entry=ttu&amp;g_ep=EgoyMDI1MTIwMi4wIKXMDSoASAFQAw%3D%3D</t>
  </si>
  <si>
    <t xml:space="preserve">0876764444
</t>
  </si>
  <si>
    <t xml:space="preserve">1063120220803376</t>
  </si>
  <si>
    <t xml:space="preserve">P19002058800</t>
  </si>
  <si>
    <t xml:space="preserve">BALOK RT 001 /RW 002, Balok, Kendal, KAB-Kendal, 51312 </t>
  </si>
  <si>
    <t xml:space="preserve">BALOK</t>
  </si>
  <si>
    <t xml:space="preserve">0813 - 26653492</t>
  </si>
  <si>
    <t xml:space="preserve">1063120221003511</t>
  </si>
  <si>
    <t xml:space="preserve">P19002055358</t>
  </si>
  <si>
    <t xml:space="preserve">YA</t>
  </si>
  <si>
    <t xml:space="preserve"> KEBONSARI RT 003/001 RT 000 /RW 000, Kebonsari, Rowosari, KABUPATEN, 51354 </t>
  </si>
  <si>
    <t xml:space="preserve">KEBONSARI</t>
  </si>
  <si>
    <t xml:space="preserve">ROWOSARI</t>
  </si>
  <si>
    <t xml:space="preserve">#NA</t>
  </si>
  <si>
    <t xml:space="preserve">083838580431</t>
  </si>
  <si>
    <t xml:space="preserve">1063120221103582</t>
  </si>
  <si>
    <t xml:space="preserve">CUS063120221106768</t>
  </si>
  <si>
    <t xml:space="preserve">DUKUH NGAGLIK RT 004 /RW 006, Kalirejo, Kangkung, KAB-Kendal, 51353 </t>
  </si>
  <si>
    <t xml:space="preserve">Kalirejo</t>
  </si>
  <si>
    <t xml:space="preserve">Kangkung</t>
  </si>
  <si>
    <t xml:space="preserve">https://www.google.com/maps?z=12&amp;t=m&amp;q=loc:-6.905728+110.139154</t>
  </si>
  <si>
    <t xml:space="preserve">081229814399</t>
  </si>
  <si>
    <t xml:space="preserve">1063120221103588</t>
  </si>
  <si>
    <t xml:space="preserve">Pikir-Pikir</t>
  </si>
  <si>
    <t xml:space="preserve">CUS063120210504997</t>
  </si>
  <si>
    <t xml:space="preserve">KETANGGAN RT 006 /RW 002, Ketanggan, Gringsing, KAB-Batang, 51281 </t>
  </si>
  <si>
    <t xml:space="preserve">KETANGGAN</t>
  </si>
  <si>
    <t xml:space="preserve">GRINGSING</t>
  </si>
  <si>
    <t xml:space="preserve">https://www.google.com/maps/place/6%C2%B056'38.5%22S+109%C2%B056'59.9%22E/@-6.944031,109.9473851,17z/data=!3m1!4b1!4m4!3m3!8m2!3d-6.944031!4d109.94996?entry=ttu&amp;g_ep=EgoyMDI1MTEyMy4xIKXMDSoASAFQAw%3D%3D</t>
  </si>
  <si>
    <t xml:space="preserve">1063120221103619</t>
  </si>
  <si>
    <t xml:space="preserve">CUS063120221106817</t>
  </si>
  <si>
    <t xml:space="preserve"> BOJONGGEDE RT 002 /RW 001, Bojonggede, Ngampel, KAB-Kendal, 51357 </t>
  </si>
  <si>
    <t xml:space="preserve">Bojonggede</t>
  </si>
  <si>
    <t xml:space="preserve">Ngampel</t>
  </si>
  <si>
    <t xml:space="preserve">https://www.google.com/maps?z=12&amp;t=m&amp;q=loc:-6.955000+110.181704</t>
  </si>
  <si>
    <t xml:space="preserve">083156927037</t>
  </si>
  <si>
    <t xml:space="preserve">1063120221103626</t>
  </si>
  <si>
    <t xml:space="preserve">CUS063120230607641</t>
  </si>
  <si>
    <t xml:space="preserve">LABAN RT 004 /RW 002, Bangunsari, Pagerruyung, KAB-Kendal, 51361 </t>
  </si>
  <si>
    <t xml:space="preserve">BANGUNSARI</t>
  </si>
  <si>
    <t xml:space="preserve">Pagerruyung</t>
  </si>
  <si>
    <t xml:space="preserve">https://www.google.com/maps/place/7%C2%B002'26.3%22S+110%C2%B001'51.5%22E/@-7.040647,110.0284091,17z/data=!3m1!4b1!4m4!3m3!8m2!3d-7.040647!4d110.030984?entry=ttu&amp;g_ep=EgoyMDI1MTIwMi4wIKXMDSoASAFQAw%3D%3D</t>
  </si>
  <si>
    <t xml:space="preserve">081225417184
</t>
  </si>
  <si>
    <t xml:space="preserve">1063120221203659</t>
  </si>
  <si>
    <t xml:space="preserve">CUS063120211105556</t>
  </si>
  <si>
    <t xml:space="preserve">BANJAR KIDUL RT 001 /RW 001, Randusari, Rowosari, KAB-Kendal, 51354 </t>
  </si>
  <si>
    <t xml:space="preserve">Randusari</t>
  </si>
  <si>
    <t xml:space="preserve">Rowosari</t>
  </si>
  <si>
    <t xml:space="preserve">081393900627</t>
  </si>
  <si>
    <t xml:space="preserve">1063120230203879</t>
  </si>
  <si>
    <t xml:space="preserve">Akhmad zainuddin</t>
  </si>
  <si>
    <t xml:space="preserve">Konfirmasi Pasangan|Rp. 18.000.000 //Rp. 12.000.000//23 //Rp. 839.000 //Rp. 13.900.000</t>
  </si>
  <si>
    <t xml:space="preserve">CUS063120230207204</t>
  </si>
  <si>
    <t xml:space="preserve">Gang buntu muda RT 008 /RW 005, Weleri, Weleri, KAB-Kendal, 51355</t>
  </si>
  <si>
    <t xml:space="preserve">Weleri</t>
  </si>
  <si>
    <t xml:space="preserve">WELERI</t>
  </si>
  <si>
    <t xml:space="preserve">https://www.google.com/maps/place/6%C2%B058'02.0%22S+110%C2%B004'40.3%22E/@-6.967223,110.0752861,17z/data=!3m1!4b1!4m4!3m3!8m2!3d-6.967223!4d110.077861?entry=ttu&amp;g_ep=EgoyMDI2MDIwMS4wIKXMDSoKLDEwMDc5MjA3MUgBUAM%3D</t>
  </si>
  <si>
    <t xml:space="preserve">NORMAL</t>
  </si>
  <si>
    <t xml:space="preserve">85329695133</t>
  </si>
  <si>
    <t xml:space="preserve">1063120230203916</t>
  </si>
  <si>
    <t xml:space="preserve">ahmad palal</t>
  </si>
  <si>
    <t xml:space="preserve">INVALID TELESALES (PENGKINIAN DATA)</t>
  </si>
  <si>
    <t xml:space="preserve">CUS063120230207282</t>
  </si>
  <si>
    <t xml:space="preserve">sojomerto RT 005 /RW 004, Sojomerto, Gemuh, KAB-Kendal, 51356</t>
  </si>
  <si>
    <t xml:space="preserve">SOJOMERTO</t>
  </si>
  <si>
    <t xml:space="preserve">GEMUH</t>
  </si>
  <si>
    <t xml:space="preserve">https://www.google.com/maps?z=12&amp;t=m&amp;q=loc:-7.027926+110.105863</t>
  </si>
  <si>
    <t xml:space="preserve">1063120230303982</t>
  </si>
  <si>
    <t xml:space="preserve">P19002044034</t>
  </si>
  <si>
    <t xml:space="preserve"> Kebon adem RT 002 /RW 003, Kebon Adem, Brangsong, KAB-Kendal, 51371 </t>
  </si>
  <si>
    <t xml:space="preserve">Kebon Adem</t>
  </si>
  <si>
    <t xml:space="preserve">Brangsong</t>
  </si>
  <si>
    <t xml:space="preserve">https://www.google.com/maps?z=12&amp;t=m&amp;q=loc:-6.953163+110.231981</t>
  </si>
  <si>
    <t xml:space="preserve">0895343014488</t>
  </si>
  <si>
    <t xml:space="preserve">1063120230504086</t>
  </si>
  <si>
    <t xml:space="preserve">siti sopiati</t>
  </si>
  <si>
    <t xml:space="preserve">Konfirmasi Pasangan|24000000/23/1625000/20621000</t>
  </si>
  <si>
    <t xml:space="preserve">CUS063120230507523</t>
  </si>
  <si>
    <t xml:space="preserve">cepiring RT 004 /RW 003, Cepiring, Cepiring, KAB-Kendal, 51352</t>
  </si>
  <si>
    <t xml:space="preserve">Cepiring</t>
  </si>
  <si>
    <t xml:space="preserve">https://www.google.com/maps/place/6%C2%B055'39.7%22S+110%C2%B009'27.9%22E/@-6.9277,110.1551841,17z/data=!3m1!4b1!4m4!3m3!8m2!3d-6.9277!4d110.157759?entry=ttu&amp;g_ep=EgoyMDI2MDExMy4wIKXMDSoKLDEwMDc5MjA3MUgBUAM%3D</t>
  </si>
  <si>
    <t xml:space="preserve">087831613950</t>
  </si>
  <si>
    <t xml:space="preserve">CUS063120230507590</t>
  </si>
  <si>
    <t xml:space="preserve">CEPIRING RT 009 /RW 001, Cepiring, Cepiring, KAB-Kendal, 51352</t>
  </si>
  <si>
    <t xml:space="preserve">CEPIRING</t>
  </si>
  <si>
    <t xml:space="preserve">https://www.google.com/maps?z=12&amp;t=m&amp;q=loc:-6.924749+110.154084</t>
  </si>
  <si>
    <t xml:space="preserve">1063120230604142</t>
  </si>
  <si>
    <t xml:space="preserve">P19002011963</t>
  </si>
  <si>
    <t xml:space="preserve">DUKUH KAUMSARI RT 002 /RW 001, Poncorejo, Gemuh, KAB-Kendal, 51356</t>
  </si>
  <si>
    <t xml:space="preserve">Poncorejo</t>
  </si>
  <si>
    <t xml:space="preserve">https://www.google.com/maps?z=12&amp;t=m&amp;q=loc:-6.965834+110.118211</t>
  </si>
  <si>
    <t xml:space="preserve">081805970914</t>
  </si>
  <si>
    <t xml:space="preserve">1063120230604162</t>
  </si>
  <si>
    <t xml:space="preserve">CUS063120230507581</t>
  </si>
  <si>
    <t xml:space="preserve">TANJUNGMOJO RT 004 /RW 002, Tanjungmojo, Kangkung, KAB-Kendal, 51353 </t>
  </si>
  <si>
    <t xml:space="preserve">TANJUNGMOJO</t>
  </si>
  <si>
    <t xml:space="preserve">KANGKUNG</t>
  </si>
  <si>
    <t xml:space="preserve">https://www.google.com/maps/place/6%C2%B055'26.3%22S+110%C2%B015'01.2%22E/@-6.923978,110.2477631,17z/data=!3m1!4b1!4m4!3m3!8m2!3d-6.923978!4d110.250338?entry=ttu&amp;g_ep=EgoyMDI1MTEwMi4wIKXMDSoASAFQAw%3D%3D</t>
  </si>
  <si>
    <t xml:space="preserve">081391926678</t>
  </si>
  <si>
    <t xml:space="preserve">1063120230704163</t>
  </si>
  <si>
    <t xml:space="preserve">NUR WAHYUNINGSIH</t>
  </si>
  <si>
    <t xml:space="preserve">CUS063120220205916</t>
  </si>
  <si>
    <t xml:space="preserve">TRATEMULYO RT 001 /RW 002, Tratemulyo, Weleri, KAB-Kendal, 51355</t>
  </si>
  <si>
    <t xml:space="preserve">TRATEMULYO</t>
  </si>
  <si>
    <t xml:space="preserve">https://www.google.com/maps?z=12&amp;t=m&amp;q=loc:-6.957502+110.074079</t>
  </si>
  <si>
    <t xml:space="preserve">0896 - 12957189</t>
  </si>
  <si>
    <t xml:space="preserve">1063120230704187</t>
  </si>
  <si>
    <t xml:space="preserve">P19002049026</t>
  </si>
  <si>
    <t xml:space="preserve">JINGKANG RT 013 /RW 005, Timbang, Banyuputih, KAB-Batang, 51281</t>
  </si>
  <si>
    <t xml:space="preserve">TIMBANG</t>
  </si>
  <si>
    <t xml:space="preserve">https://www.google.com/maps?z=12&amp;t=m&amp;q=loc:-6.977925+109.989168</t>
  </si>
  <si>
    <t xml:space="preserve">0895401289461</t>
  </si>
  <si>
    <t xml:space="preserve">1063120230804233</t>
  </si>
  <si>
    <t xml:space="preserve">CUS063120210705128</t>
  </si>
  <si>
    <t xml:space="preserve">TRAJU MANGGUNGSARI RT 001 /RW 002, Manggungsari, Weleri, KAB-Kendal, 51355 </t>
  </si>
  <si>
    <t xml:space="preserve">MANGGUNGSARI</t>
  </si>
  <si>
    <t xml:space="preserve">https://www.google.com/maps/place/6%C2%B059'12.7%22S+110%C2%B005'16.9%22E/@-6.98687,110.0854571,17z/data=!3m1!4b1!4m4!3m3!8m2!3d-6.98687!4d110.088032?entry=ttu&amp;g_ep=EgoyMDI1MTEwMi4wIKXMDSoASAFQAw%3D%3D</t>
  </si>
  <si>
    <t xml:space="preserve">0877 - 70819951</t>
  </si>
  <si>
    <t xml:space="preserve">1063120230804239</t>
  </si>
  <si>
    <t xml:space="preserve">CUS063120211105649</t>
  </si>
  <si>
    <t xml:space="preserve">PADATAN RT 005 /RW 002, Lanji, Patebon, KAB-Kendal, 51351</t>
  </si>
  <si>
    <t xml:space="preserve">LANJI</t>
  </si>
  <si>
    <t xml:space="preserve">PATEBON</t>
  </si>
  <si>
    <t xml:space="preserve">https://www.google.com/maps?z=12&amp;t=m&amp;q=loc:-6.945867+110.153544</t>
  </si>
  <si>
    <t xml:space="preserve">85229349618</t>
  </si>
  <si>
    <t xml:space="preserve">1063120230904271</t>
  </si>
  <si>
    <t xml:space="preserve">CUS063120230907728</t>
  </si>
  <si>
    <t xml:space="preserve">KRAJAN RT 002 /RW 002, Truko, Kangkung, KAB-Kendal, 51353</t>
  </si>
  <si>
    <t xml:space="preserve">TRUKO</t>
  </si>
  <si>
    <t xml:space="preserve">https://www.google.com/maps?z=12&amp;t=m&amp;q=loc:-6.931995+110.122577</t>
  </si>
  <si>
    <t xml:space="preserve">083119099182</t>
  </si>
  <si>
    <t xml:space="preserve">P1</t>
  </si>
  <si>
    <t xml:space="preserve">1063120230904279</t>
  </si>
  <si>
    <t xml:space="preserve">CUS063120230107046</t>
  </si>
  <si>
    <t xml:space="preserve">SUROPADAN RT 001 /RW 007, Protomulyo, Kaliwungu Selatan, KAB-Kendal, 51372</t>
  </si>
  <si>
    <t xml:space="preserve">PROTOMULYO</t>
  </si>
  <si>
    <t xml:space="preserve">KALIWUNGU SELATAN</t>
  </si>
  <si>
    <t xml:space="preserve">https://www.google.com/maps?z=12&amp;t=m&amp;q=loc:-6.972633+110.247647</t>
  </si>
  <si>
    <t xml:space="preserve">089502604072</t>
  </si>
  <si>
    <t xml:space="preserve">1063120230904298</t>
  </si>
  <si>
    <t xml:space="preserve">CUS063120210605036</t>
  </si>
  <si>
    <t xml:space="preserve">Dk tedunan RT 001 /RW 002, BULU, GRINGSING, KAB-Batang, 51281</t>
  </si>
  <si>
    <t xml:space="preserve">BULU</t>
  </si>
  <si>
    <t xml:space="preserve">https://www.google.com/maps?z=12&amp;t=m&amp;q=loc:-6.996918+110.013175</t>
  </si>
  <si>
    <t xml:space="preserve">0856 - 7501421</t>
  </si>
  <si>
    <t xml:space="preserve">1063120230904304</t>
  </si>
  <si>
    <t xml:space="preserve">CUS063120191002796</t>
  </si>
  <si>
    <t xml:space="preserve">KP. MIJEN RT 001 /RW 001, Nolokerto, Kaliwungu, KAB-Kendal, 51372 </t>
  </si>
  <si>
    <t xml:space="preserve">NOLOKERTO</t>
  </si>
  <si>
    <t xml:space="preserve">https://www.google.com/maps/place/6%C2%B057'45.2%22S+110%C2%B015'42.4%22E/@-6.962563,110.2592121,17z/data=!3m1!4b1!4m4!3m3!8m2!3d-6.962563!4d110.261787?entry=ttu&amp;g_ep=EgoyMDI1MTEwMi4wIKXMDSoASAFQAw%3D%3D</t>
  </si>
  <si>
    <t xml:space="preserve">08972392961</t>
  </si>
  <si>
    <t xml:space="preserve">1063120231104359</t>
  </si>
  <si>
    <t xml:space="preserve">CUS063120211205736</t>
  </si>
  <si>
    <t xml:space="preserve"> GG.MARKISA RAYA RT 022 /RW 006, Kebondalem, Kendal, KAB-Kendal, 51318 </t>
  </si>
  <si>
    <t xml:space="preserve">Kebondalem</t>
  </si>
  <si>
    <t xml:space="preserve">Kendal</t>
  </si>
  <si>
    <t xml:space="preserve">https://www.google.com/maps?z=12&amp;t=m&amp;q=loc:-6.934308+110.209355</t>
  </si>
  <si>
    <t xml:space="preserve">089503795090</t>
  </si>
  <si>
    <t xml:space="preserve">1063120231104372</t>
  </si>
  <si>
    <t xml:space="preserve">P19002015381</t>
  </si>
  <si>
    <t xml:space="preserve">DESA PURWOKERTO RT 004 /RW 006, Purwokerto, Patebon, KAB-Kendal, 51351</t>
  </si>
  <si>
    <t xml:space="preserve">PURWOKERTO</t>
  </si>
  <si>
    <t xml:space="preserve">https://www.google.com/maps?z=12&amp;t=m&amp;q=loc:-6.925047+110.180577</t>
  </si>
  <si>
    <t xml:space="preserve">1063120231104373</t>
  </si>
  <si>
    <t xml:space="preserve">P19002053093</t>
  </si>
  <si>
    <t xml:space="preserve">GANG TENGAH RT 004/006 RT 000 /RW 000, Weleri, Weleri, KABUPATEN, 51355</t>
  </si>
  <si>
    <t xml:space="preserve">0896 - 27789914</t>
  </si>
  <si>
    <t xml:space="preserve">1063120231204394</t>
  </si>
  <si>
    <t xml:space="preserve">SABARUDIN</t>
  </si>
  <si>
    <t xml:space="preserve">P19002047538</t>
  </si>
  <si>
    <t xml:space="preserve">KOROWELANGANYAR RT 002/002 RT 000 /RW 000, Korowelang Anyar, Cepiring, KABUPATEN, 51352</t>
  </si>
  <si>
    <t xml:space="preserve">Korowelang Anyar</t>
  </si>
  <si>
    <t xml:space="preserve">https://www.google.com/maps/place/6%C2%B053'26.6%22S+110%C2%B010'15.3%22E/@-6.890719,110.1683511,17z/data=!3m1!4b1!4m4!3m3!8m2!3d-6.890719!4d110.170926?entry=ttu&amp;g_ep=EgoyMDI1MTAwOC4wIKXMDSoASAFQAw%3D%3D</t>
  </si>
  <si>
    <t xml:space="preserve">Bertemu</t>
  </si>
  <si>
    <t xml:space="preserve">089675690392</t>
  </si>
  <si>
    <t xml:space="preserve">Uncontacted (Pengkinian No WA)</t>
  </si>
  <si>
    <t xml:space="preserve">CUS063120231207869</t>
  </si>
  <si>
    <t xml:space="preserve">DESA PUGUH, 003, 003, Puguh, Pegandon, KAB-Kendal, 51357</t>
  </si>
  <si>
    <t xml:space="preserve">PUGUH</t>
  </si>
  <si>
    <t xml:space="preserve">https://www.google.com/maps?z=12&amp;t=m&amp;q=loc:-6.995054+110.150966</t>
  </si>
  <si>
    <t xml:space="preserve">1063120231204399</t>
  </si>
  <si>
    <t xml:space="preserve">KUSWANTO</t>
  </si>
  <si>
    <t xml:space="preserve">P19002033332</t>
  </si>
  <si>
    <t xml:space="preserve">TUKSURUH RT 001 /RW 007, Sidomukti, Weleri, KAB-Kendal, 51355</t>
  </si>
  <si>
    <t xml:space="preserve">Sidomukti</t>
  </si>
  <si>
    <t xml:space="preserve">081228659272</t>
  </si>
  <si>
    <t xml:space="preserve">1063120240104411</t>
  </si>
  <si>
    <t xml:space="preserve">Supandriyono</t>
  </si>
  <si>
    <t xml:space="preserve">CUS063120210504988</t>
  </si>
  <si>
    <t xml:space="preserve">DESA WONOSARI RT 006 /RW 004, Wonosari, Patebon, KAB-Kendal, 51351</t>
  </si>
  <si>
    <t xml:space="preserve">WONOSARI</t>
  </si>
  <si>
    <t xml:space="preserve">https://www.google.com/maps?z=12&amp;t=m&amp;q=loc:-6.899243+110.186910</t>
  </si>
  <si>
    <t xml:space="preserve">1063120240104418</t>
  </si>
  <si>
    <t xml:space="preserve">CUS063120191203524</t>
  </si>
  <si>
    <t xml:space="preserve">DK. PADOLENGAN RT 001 /RW 006, Mororejo, Kaliwungu, KAB-Kendal, 51372 </t>
  </si>
  <si>
    <t xml:space="preserve">MOROREJO</t>
  </si>
  <si>
    <t xml:space="preserve">Kaliwungu</t>
  </si>
  <si>
    <t xml:space="preserve">https://www.google.com/maps?z=12&amp;t=m&amp;q=loc:-6.949711+110.264513</t>
  </si>
  <si>
    <t xml:space="preserve">085790895349</t>
  </si>
  <si>
    <t xml:space="preserve">1063120240104422</t>
  </si>
  <si>
    <t xml:space="preserve">P19002042044</t>
  </si>
  <si>
    <t xml:space="preserve">DAMARSARI RT 003 /RW 002, Cepiring, Cepiring, KAB-Kendal, 51352</t>
  </si>
  <si>
    <t xml:space="preserve">https://www.google.com/maps?z=12&amp;t=m&amp;q=loc:-6.911247+110.157801</t>
  </si>
  <si>
    <t xml:space="preserve">0856 - 40144166</t>
  </si>
  <si>
    <t xml:space="preserve">P19002019399</t>
  </si>
  <si>
    <t xml:space="preserve">JL.MADUKORO NO.22, 003, 010, Purwokerto, Patebon, KAB-Kendal, 51351</t>
  </si>
  <si>
    <t xml:space="preserve">Purwokerto</t>
  </si>
  <si>
    <t xml:space="preserve">https://www.google.com/maps?z=12&amp;t=m&amp;q=loc:-6.927785+110.183065</t>
  </si>
  <si>
    <t xml:space="preserve">1063120240204452</t>
  </si>
  <si>
    <t xml:space="preserve">JOKO HANIP</t>
  </si>
  <si>
    <t xml:space="preserve">P057A002038749</t>
  </si>
  <si>
    <t xml:space="preserve">DUKUH LOSARI RT 001 RW 004 KRANGGAN TERSONO BATANG RT 001 /RW 004, Kranggan, Tersono, KAB-Batang, 51272</t>
  </si>
  <si>
    <t xml:space="preserve">Kranggan</t>
  </si>
  <si>
    <t xml:space="preserve">Tersono</t>
  </si>
  <si>
    <t xml:space="preserve">0823 - 26865275</t>
  </si>
  <si>
    <t xml:space="preserve">1063120240204474</t>
  </si>
  <si>
    <t xml:space="preserve">AMAT MAS UD</t>
  </si>
  <si>
    <t xml:space="preserve">P057A002042484</t>
  </si>
  <si>
    <t xml:space="preserve">DK KEDAWUNG  RT 004/RW 001,Kedawung Banyuputih, KAB-Batang,51271</t>
  </si>
  <si>
    <t xml:space="preserve">https://www.google.com/maps/place/6%C2%B055'45.4%22S+109%C2%B056'06.2%22E/@-6.929274,109.9324721,17z/data=!3m1!4b1!4m4!3m3!8m2!3d-6.929274!4d109.935047?entry=ttu&amp;g_ep=EgoyMDI1MTAwOC4wIKXMDSoASAFQAw%3D%3D</t>
  </si>
  <si>
    <t xml:space="preserve">085721711688</t>
  </si>
  <si>
    <t xml:space="preserve">1063120240304491</t>
  </si>
  <si>
    <t xml:space="preserve">P19002052026</t>
  </si>
  <si>
    <t xml:space="preserve">KEDUNGROMBONG RT 001 /RW 007, Sarirejo, Kaliwungu, KAB-Kendal, 51372</t>
  </si>
  <si>
    <t xml:space="preserve">Sarirejo</t>
  </si>
  <si>
    <t xml:space="preserve">https://www.google.com/maps?z=12&amp;t=m&amp;q=loc:-6.955709+110.241134</t>
  </si>
  <si>
    <t xml:space="preserve">081325680608</t>
  </si>
  <si>
    <t xml:space="preserve">1063120240304510</t>
  </si>
  <si>
    <t xml:space="preserve">CUS063120210705132</t>
  </si>
  <si>
    <t xml:space="preserve">DUKUH INDAH RT 003 /RW 009, Magelung, Kaliwungu Selatan, KAB-Kendal, 51372</t>
  </si>
  <si>
    <t xml:space="preserve">https://www.google.com/maps?z=12&amp;t=m&amp;q=loc:-6.984111+110.231227</t>
  </si>
  <si>
    <t xml:space="preserve">0838 - 69266027</t>
  </si>
  <si>
    <t xml:space="preserve">1063120240404519</t>
  </si>
  <si>
    <t xml:space="preserve">CUS063120230107142</t>
  </si>
  <si>
    <t xml:space="preserve">Manggal RT 007 /RW 003, Margomulyo, Pegandon, KAB-Kendal, 51357</t>
  </si>
  <si>
    <t xml:space="preserve">MARGOMULYO</t>
  </si>
  <si>
    <t xml:space="preserve">https://www.google.com/maps/place/6%C2%B059'06.1%22S+110%C2%B009'14.2%22E/@-6.985032,110.1513611,17z/data=!3m1!4b1!4m4!3m3!8m2!3d-6.985032!4d110.153936?entry=ttu&amp;g_ep=EgoyMDI2MDExMy4wIKXMDSoKLDEwMDc5MjA3MUgBUAM%3D</t>
  </si>
  <si>
    <t xml:space="preserve">088225081494</t>
  </si>
  <si>
    <t xml:space="preserve">1063120240404533</t>
  </si>
  <si>
    <t xml:space="preserve">CUS063120220306022</t>
  </si>
  <si>
    <t xml:space="preserve">Tegal sari RT 002 /RW 006, TANGGULHARJO, BRANGSONG, KAB-Kendal, 51371</t>
  </si>
  <si>
    <t xml:space="preserve">TANGGULHARJO</t>
  </si>
  <si>
    <t xml:space="preserve">https://www.google.com/maps?z=12&amp;t=m&amp;q=loc:-6.993228+110.217802</t>
  </si>
  <si>
    <t xml:space="preserve">1063120240404540</t>
  </si>
  <si>
    <t xml:space="preserve">SULAIMAN</t>
  </si>
  <si>
    <t xml:space="preserve">P263000004978</t>
  </si>
  <si>
    <t xml:space="preserve">ROWOSARI RT 002 /RW 002, Rowosari, Rowosari, KAB-Kendal, 51354</t>
  </si>
  <si>
    <t xml:space="preserve">1063120240404543</t>
  </si>
  <si>
    <t xml:space="preserve">AFRYAN JACKSON FEBRIANTO</t>
  </si>
  <si>
    <t xml:space="preserve">CUS063120240408001</t>
  </si>
  <si>
    <t xml:space="preserve">PERUM RAHAYU MUTIARA INDAH RT 012 /RW 001, Bandengan, Kendal, KAB-Kendal, 51312</t>
  </si>
  <si>
    <t xml:space="preserve">BANDENGAN</t>
  </si>
  <si>
    <t xml:space="preserve">1063120240504570</t>
  </si>
  <si>
    <t xml:space="preserve">CUS063120201204716</t>
  </si>
  <si>
    <t xml:space="preserve">PADOLENGAN RT 001 /RW 006, Mororejo, Kaliwungu, KAB-Kendal, 51372</t>
  </si>
  <si>
    <t xml:space="preserve">https://www.google.com/maps?z=12&amp;t=m&amp;q=loc:-6.948105+110.265118</t>
  </si>
  <si>
    <t xml:space="preserve">1063120240504573</t>
  </si>
  <si>
    <t xml:space="preserve">CUS063120200304436</t>
  </si>
  <si>
    <t xml:space="preserve">JEPLAK RT 002 /RW 006, Bendosari, Plantungan, KAB-Kendal, 51362 </t>
  </si>
  <si>
    <t xml:space="preserve">BENDOSARI</t>
  </si>
  <si>
    <t xml:space="preserve">PLANTUNGAN</t>
  </si>
  <si>
    <t xml:space="preserve">https://www.google.com/maps/place/7%C2%B003'12.7%22S+109%C2%B058'51.0%22E/@-7.053532,109.9782691,17z/data=!3m1!4b1!4m4!3m3!8m2!3d-7.053532!4d109.980844?entry=ttu&amp;g_ep=EgoyMDI1MTEwMi4wIKXMDSoASAFQAw%3D%3D</t>
  </si>
  <si>
    <t xml:space="preserve">081226087772</t>
  </si>
  <si>
    <t xml:space="preserve">1063120240504579</t>
  </si>
  <si>
    <t xml:space="preserve">CUS063120190300131</t>
  </si>
  <si>
    <t xml:space="preserve">KROMPAAN RT 008 /RW 004, Krompaan, Gemuh, KAB-Kendal, 51356 </t>
  </si>
  <si>
    <t xml:space="preserve">https://www.google.com/maps?z=12&amp;t=m&amp;q=loc:-6.990828+110.254690</t>
  </si>
  <si>
    <t xml:space="preserve">0882006630528</t>
  </si>
  <si>
    <t xml:space="preserve">1063120240504582</t>
  </si>
  <si>
    <t xml:space="preserve">CUS063120230407452</t>
  </si>
  <si>
    <t xml:space="preserve">Sendang kidul RT 002 /RW 002, Sendangkulon, Kangkung, KAB-Kendal, 51353</t>
  </si>
  <si>
    <t xml:space="preserve">Sendangkulon</t>
  </si>
  <si>
    <t xml:space="preserve">https://www.google.com/maps?z=12&amp;t=m&amp;q=loc:-6.929868+110.091273</t>
  </si>
  <si>
    <t xml:space="preserve">0877 - 69053968</t>
  </si>
  <si>
    <t xml:space="preserve">1063120240504589</t>
  </si>
  <si>
    <t xml:space="preserve">P19002042307</t>
  </si>
  <si>
    <t xml:space="preserve">JETIS RT 003 RW 001 DLIMAS BANYUPUTIH BATANG RT 003 /RW 001, Dlimas, Banyuputih, KABUPATEN, 51271</t>
  </si>
  <si>
    <t xml:space="preserve">DLIMAS</t>
  </si>
  <si>
    <t xml:space="preserve">NA</t>
  </si>
  <si>
    <t xml:space="preserve">1063120240504596</t>
  </si>
  <si>
    <t xml:space="preserve">CUS063120220906494</t>
  </si>
  <si>
    <t xml:space="preserve">Dusun Sidomulyo RT 001 /RW 001, Gebanganom, Rowosari, KAB-Kendal, 51354</t>
  </si>
  <si>
    <t xml:space="preserve">Gebanganom</t>
  </si>
  <si>
    <t xml:space="preserve">https://www.google.com/maps?z=12&amp;t=m&amp;q=loc:-6.929993+110.054427</t>
  </si>
  <si>
    <t xml:space="preserve">0838 - 62191337</t>
  </si>
  <si>
    <t xml:space="preserve">1063120240604604</t>
  </si>
  <si>
    <t xml:space="preserve">CUS063120190300166</t>
  </si>
  <si>
    <t xml:space="preserve">MONTONGSARI RT 004 /RW 003, Montongsari, Weleri, KAB-Kendal, 51355</t>
  </si>
  <si>
    <t xml:space="preserve">MONTONGSARI</t>
  </si>
  <si>
    <t xml:space="preserve">https://www.google.com/maps?z=12&amp;t=m&amp;q=loc:-6.960221+110.083666</t>
  </si>
  <si>
    <t xml:space="preserve">1063120240604615</t>
  </si>
  <si>
    <t xml:space="preserve">NASOKHA</t>
  </si>
  <si>
    <t xml:space="preserve">P19002032260</t>
  </si>
  <si>
    <t xml:space="preserve">DESA SUKOLILAN RT 004 /RW 001, Sukolilan, Patebon, KAB-Kendal, 51351</t>
  </si>
  <si>
    <t xml:space="preserve">SUKOLILAN</t>
  </si>
  <si>
    <t xml:space="preserve">https://www.google.com/maps?z=12&amp;t=m&amp;q=loc:-6.907033+110.179170</t>
  </si>
  <si>
    <t xml:space="preserve">089510676782</t>
  </si>
  <si>
    <t xml:space="preserve">1063120240604620</t>
  </si>
  <si>
    <t xml:space="preserve">CUS063120240608092</t>
  </si>
  <si>
    <t xml:space="preserve"> KRAJAN RT 003 /RW 001, Ngampel Kulon, Ngampel, KAB-Kendal, 51357 </t>
  </si>
  <si>
    <t xml:space="preserve">Ngampel Kulon</t>
  </si>
  <si>
    <t xml:space="preserve">https://www.google.com/maps?z=12&amp;t=m&amp;q=loc:-6.970916+110.189295</t>
  </si>
  <si>
    <t xml:space="preserve">0822 - 20152936</t>
  </si>
  <si>
    <t xml:space="preserve">1063120240604624</t>
  </si>
  <si>
    <t xml:space="preserve">P19002065334</t>
  </si>
  <si>
    <t xml:space="preserve">SAMBONGAN RT 001 /RW 001, Sambongsari, Weleri, KABUPATEN, 51355</t>
  </si>
  <si>
    <t xml:space="preserve">Sambongsari</t>
  </si>
  <si>
    <t xml:space="preserve">1063120240604626</t>
  </si>
  <si>
    <t xml:space="preserve">CUS063120211005538</t>
  </si>
  <si>
    <t xml:space="preserve">SAMBONGSARI RT 002 /RW 001, Sambongsari, Weleri, KAB-Kendal, 51355</t>
  </si>
  <si>
    <t xml:space="preserve">SAMBONGSARI</t>
  </si>
  <si>
    <t xml:space="preserve">https://www.google.com/maps/place/6%C2%B058'35.2%22S+110%C2%B003'27.5%22E/@-6.976439,110.0550701,17z/data=!3m1!4b1!4m4!3m3!8m2!3d-6.976439!4d110.057645?entry=ttu&amp;g_ep=EgoyMDI2MDExMy4wIKXMDSoKLDEwMDc5MjA3MUgBUAM%3D</t>
  </si>
  <si>
    <t xml:space="preserve">CUS063120230307327</t>
  </si>
  <si>
    <t xml:space="preserve">KAMPUNG KRAMAT SELATAN RT 006 /RW 005, Kutoharjo, Kaliwungu, KAB-Kendal, 51372</t>
  </si>
  <si>
    <t xml:space="preserve">KUTOHARJO</t>
  </si>
  <si>
    <t xml:space="preserve">https://www.google.com/maps?z=12&amp;t=m&amp;q=loc:-6.963579+110.261652</t>
  </si>
  <si>
    <t xml:space="preserve">1063120240704645</t>
  </si>
  <si>
    <t xml:space="preserve">TEGUH MUSTOFA</t>
  </si>
  <si>
    <t xml:space="preserve">CUS063120191002949</t>
  </si>
  <si>
    <t xml:space="preserve">DESA KARTIKAJAYA RT 002 /RW 003, Kartikajaya, Patebon, KAB-Kendal, 51351</t>
  </si>
  <si>
    <t xml:space="preserve">KARTIKAJAYA</t>
  </si>
  <si>
    <t xml:space="preserve">083842936041</t>
  </si>
  <si>
    <t xml:space="preserve">CUS063120240708133</t>
  </si>
  <si>
    <t xml:space="preserve">yes</t>
  </si>
  <si>
    <t xml:space="preserve">DUSUN SIDOMULYO, 003, 003, Gebanganom, Rowosari, KAB-Kendal, 51354</t>
  </si>
  <si>
    <t xml:space="preserve">GEBANGANOM</t>
  </si>
  <si>
    <t xml:space="preserve">https://www.google.com/maps?z=12&amp;t=m&amp;q=loc:-6.928537+110.058435</t>
  </si>
  <si>
    <t xml:space="preserve">1063120240704656</t>
  </si>
  <si>
    <t xml:space="preserve">AFIF FITRIYANI</t>
  </si>
  <si>
    <t xml:space="preserve">CUS063120190701731</t>
  </si>
  <si>
    <t xml:space="preserve">JUWIRING TENGAH RT 003 /RW 002, Juwiring, Cepiring, KAB-Kendal, 51352</t>
  </si>
  <si>
    <t xml:space="preserve">JUWIRING</t>
  </si>
  <si>
    <t xml:space="preserve">089662064806</t>
  </si>
  <si>
    <t xml:space="preserve">1063120240704661</t>
  </si>
  <si>
    <t xml:space="preserve">CUS063120230207274</t>
  </si>
  <si>
    <t xml:space="preserve">Sidomulyo RT 010 /RW 003, Sidomulyo, Cepiring, KAB-Kendal, 51352</t>
  </si>
  <si>
    <t xml:space="preserve">Sidomulyo</t>
  </si>
  <si>
    <t xml:space="preserve">https://www.google.com/maps?z=12&amp;t=m&amp;q=loc:-6.910975+110.153174</t>
  </si>
  <si>
    <t xml:space="preserve">0895 - 366937788</t>
  </si>
  <si>
    <t xml:space="preserve">1063120240804677</t>
  </si>
  <si>
    <t xml:space="preserve">CUS063120190701752</t>
  </si>
  <si>
    <t xml:space="preserve">KADILANGU RT 003 /RW 002, Kadilangu, Kangkung, KAB-Kendal, 51353</t>
  </si>
  <si>
    <t xml:space="preserve">KADILANGU</t>
  </si>
  <si>
    <t xml:space="preserve">https://www.google.com/maps?z=12&amp;t=m&amp;q=loc:-6.930818+110.120789</t>
  </si>
  <si>
    <t xml:space="preserve">P19002053689</t>
  </si>
  <si>
    <t xml:space="preserve">GANG PINGGIR RT 008 /RW 006, Weleri, Weleri, KAB-Kendal, 51355</t>
  </si>
  <si>
    <t xml:space="preserve">https://www.google.com/maps?z=12&amp;t=m&amp;q=loc:-6.962987+110.079973</t>
  </si>
  <si>
    <t xml:space="preserve">1063120240804690</t>
  </si>
  <si>
    <t xml:space="preserve">KOMSATUN</t>
  </si>
  <si>
    <t xml:space="preserve">Pikir-Pikir|INTEREST|PA|REPOLLING|150000000|15000000|24|110000000|SIAP SURVEY</t>
  </si>
  <si>
    <t xml:space="preserve">P19002060693</t>
  </si>
  <si>
    <t xml:space="preserve">PATUKANGAN RT 001 /RW 009, Plantaran, Kaliwungu Selatan, KAB-Kendal, 51372</t>
  </si>
  <si>
    <t xml:space="preserve">PLANTARAN</t>
  </si>
  <si>
    <t xml:space="preserve">https://www.google.com/maps?z=12&amp;t=m&amp;q=loc:-6.964023+110.241089</t>
  </si>
  <si>
    <t xml:space="preserve">1063120240804695</t>
  </si>
  <si>
    <t xml:space="preserve">P19002048104</t>
  </si>
  <si>
    <t xml:space="preserve">DESA TIMBANG RT 004 /RW 001, Timbang, Banyuputih, KAB-Batang, 51281</t>
  </si>
  <si>
    <t xml:space="preserve">https://www.google.com/maps?z=12&amp;t=m&amp;q=loc:-6.976890+109.977103</t>
  </si>
  <si>
    <t xml:space="preserve">1063120240804698</t>
  </si>
  <si>
    <t xml:space="preserve">WASMIN</t>
  </si>
  <si>
    <t xml:space="preserve">CUS063120200304309</t>
  </si>
  <si>
    <t xml:space="preserve">DK KARANGANYAR RT 003 /RW 003, Kedawung, Banyuputih, KAB-Batang, 51271</t>
  </si>
  <si>
    <t xml:space="preserve">https://www.google.com/maps?z=12&amp;t=m&amp;q=loc:-6.931098+109.932008</t>
  </si>
  <si>
    <t xml:space="preserve">085200292096</t>
  </si>
  <si>
    <t xml:space="preserve">1063120240804701</t>
  </si>
  <si>
    <t xml:space="preserve">DITA PUTRI PRATIWI</t>
  </si>
  <si>
    <t xml:space="preserve">CUS063120190701856            </t>
  </si>
  <si>
    <t xml:space="preserve">LOMANSARI RT 001 /RW 001, Karangtengah, Kaliwungu, KAB-Kendal, 51372</t>
  </si>
  <si>
    <t xml:space="preserve">Karangtengah</t>
  </si>
  <si>
    <t xml:space="preserve">6°56'58.3"S 110°14'24.1"E - Google Maps</t>
  </si>
  <si>
    <t xml:space="preserve">0895 - 10412852</t>
  </si>
  <si>
    <t xml:space="preserve">1063120240804704</t>
  </si>
  <si>
    <t xml:space="preserve">CUS063120240808195</t>
  </si>
  <si>
    <t xml:space="preserve"> DEMPAL REJO RT 004 /RW 001, Dempelrejo, Ngampel, KAB-Kendal, 51357 </t>
  </si>
  <si>
    <t xml:space="preserve">Dempelrejo</t>
  </si>
  <si>
    <t xml:space="preserve">https://www.google.com/maps?z=12&amp;t=m&amp;q=loc:-6.962741+110.192389</t>
  </si>
  <si>
    <t xml:space="preserve">087797094946</t>
  </si>
  <si>
    <t xml:space="preserve">1063120240904721</t>
  </si>
  <si>
    <t xml:space="preserve">CUS063120210304838</t>
  </si>
  <si>
    <t xml:space="preserve">GG MELATI RT 004 /RW 001, Karang Sari, Kendal, KAB-Kendal, 51319</t>
  </si>
  <si>
    <t xml:space="preserve">KARANGSARI</t>
  </si>
  <si>
    <t xml:space="preserve">https://www.google.com/maps?z=12&amp;t=m&amp;q=loc:-6.925809+110.208350</t>
  </si>
  <si>
    <t xml:space="preserve">1063120240904723</t>
  </si>
  <si>
    <t xml:space="preserve">BENY PRASETIO WIBOWO</t>
  </si>
  <si>
    <t xml:space="preserve">CUS063120200103933</t>
  </si>
  <si>
    <t xml:space="preserve">JENARSARI RT 002 /RW 004, Jenarsari, Gemuh, KAB-Kendal, 51356</t>
  </si>
  <si>
    <t xml:space="preserve">JENARSARI</t>
  </si>
  <si>
    <t xml:space="preserve">https://www.google.com/maps/place/6%C2%B057'00.8%22S+110%C2%B003'46.7%22E/@-6.9400923,110.0077237,12.5z/data=!4m4!3m3!8m2!3d-6.950227!4d110.062971?entry=ttu&amp;g_ep=EgoyMDI2MDExMy4wIKXMDSoKLDEwMDc5MjA3MUgBUAM%3D</t>
  </si>
  <si>
    <t xml:space="preserve">1063120240904727</t>
  </si>
  <si>
    <t xml:space="preserve">Supopo Wilono</t>
  </si>
  <si>
    <t xml:space="preserve">CUS063120220306034            </t>
  </si>
  <si>
    <t xml:space="preserve">Gang Layur RT 010 /RW 003, Patukangan, Kendal, KAB-Kendal, 51311</t>
  </si>
  <si>
    <t xml:space="preserve">Patukangan</t>
  </si>
  <si>
    <t xml:space="preserve">https://www.google.com/maps?z=12&amp;t=m&amp;q=loc:-6.920520+110.203468</t>
  </si>
  <si>
    <t xml:space="preserve">0857 - 41728598</t>
  </si>
  <si>
    <t xml:space="preserve">1063120240904730</t>
  </si>
  <si>
    <t xml:space="preserve">KUSTIYANTO</t>
  </si>
  <si>
    <t xml:space="preserve">Konfirmasi Pasangan|INTEREST|PA|REPOLLING|150000000|15000000|24|110000000|SIAP SURVEY Rp6.000.000/Rp883.000/17/.Rp4.968.656</t>
  </si>
  <si>
    <t xml:space="preserve">CUS063120191002864</t>
  </si>
  <si>
    <t xml:space="preserve">BETENG DESA TAMPINGWINARNO RT 001 /RW 001, Tamping Winarno, Sukorejo, KAB-Kendal, 51363 </t>
  </si>
  <si>
    <t xml:space="preserve">Tamping Winarno</t>
  </si>
  <si>
    <t xml:space="preserve">Sukorejo</t>
  </si>
  <si>
    <t xml:space="preserve">https://www.google.com/maps?z=12&amp;t=m&amp;q=loc:-7.085117+110.031055</t>
  </si>
  <si>
    <t xml:space="preserve">081326338114</t>
  </si>
  <si>
    <t xml:space="preserve">1063120240904732</t>
  </si>
  <si>
    <t xml:space="preserve">P19002061803</t>
  </si>
  <si>
    <t xml:space="preserve">DUKUH SARI RT 001 /RW 002, Sembung, Banyuputih, KAB-Batang, 51271</t>
  </si>
  <si>
    <t xml:space="preserve">SEMBUNG</t>
  </si>
  <si>
    <t xml:space="preserve">https://www.google.com/maps?z=12&amp;t=m&amp;q=loc:-6.968306+109.940955</t>
  </si>
  <si>
    <t xml:space="preserve">082134812775</t>
  </si>
  <si>
    <t xml:space="preserve">1063120240904738</t>
  </si>
  <si>
    <t xml:space="preserve">CUS063120220305968</t>
  </si>
  <si>
    <t xml:space="preserve">BOJONGGEDE RT 002 /RW 004, Bojonggede, Ngampel, KAB-Kendal, 51357</t>
  </si>
  <si>
    <t xml:space="preserve">https://www.google.com/maps?z=12&amp;t=m&amp;q=loc:-6.953135+110.191563</t>
  </si>
  <si>
    <t xml:space="preserve">085106709400</t>
  </si>
  <si>
    <t xml:space="preserve">1063120240904747</t>
  </si>
  <si>
    <t xml:space="preserve">CUS063120240908257</t>
  </si>
  <si>
    <t xml:space="preserve">TLOGO RT 003 /RW 003, Tlogopayung, Plantungan, KAB-Kendal, 51362</t>
  </si>
  <si>
    <t xml:space="preserve">TLOGOPAYUNG</t>
  </si>
  <si>
    <t xml:space="preserve">https://www.google.com/maps?z=12&amp;t=m&amp;q=loc:-7.119892+109.960965</t>
  </si>
  <si>
    <t xml:space="preserve">081390249957</t>
  </si>
  <si>
    <t xml:space="preserve">1063120240904760</t>
  </si>
  <si>
    <t xml:space="preserve">CUS063120230307401</t>
  </si>
  <si>
    <t xml:space="preserve">BARANGAN RT 005 /RW 004, Mlatiharjo, Patean, KAB-Kendal, 51364</t>
  </si>
  <si>
    <t xml:space="preserve">MLATIHARJO</t>
  </si>
  <si>
    <t xml:space="preserve">PATEAN</t>
  </si>
  <si>
    <t xml:space="preserve">https://www.google.com/maps?z=12&amp;t=m&amp;q=loc:-7.112332+110.043771</t>
  </si>
  <si>
    <t xml:space="preserve">1063120240904762</t>
  </si>
  <si>
    <t xml:space="preserve">CUS063120210504985</t>
  </si>
  <si>
    <t xml:space="preserve">DESA SENDANG DAWUHAN RT 003 /RW 003, Sendangdawuhan, Rowosari, KAB-Kendal, 51354</t>
  </si>
  <si>
    <t xml:space="preserve">SENDANGDAWUHAN</t>
  </si>
  <si>
    <t xml:space="preserve">https://www.google.com/maps?z=12&amp;t=m&amp;q=loc:-6.936507+110.075228</t>
  </si>
  <si>
    <t xml:space="preserve">Konsumen Aktif M 0 - 12 Lunas</t>
  </si>
  <si>
    <t xml:space="preserve">CUS063120211105567            </t>
  </si>
  <si>
    <t xml:space="preserve">BULUGEDE RT 001 /RW 002, Bulugede, Patebon, KAB-Kendal, 51351</t>
  </si>
  <si>
    <t xml:space="preserve">Bulugede</t>
  </si>
  <si>
    <t xml:space="preserve">Patebon</t>
  </si>
  <si>
    <t xml:space="preserve">0895 - 630559311</t>
  </si>
  <si>
    <t xml:space="preserve">https://www.google.com/maps/place/6%C2%B057'14.2%22S+110%C2%B010'29.0%22E/@-6.953941,110.1721411,17z/data=!3m1!4b1!4m4!3m3!8m2!3d-6.953941!4d110.174716?entry=ttu&amp;g_ep=EgoyMDI2MDcwNy4wIKXMDSoASAFQAw%3D%3D</t>
  </si>
  <si>
    <t xml:space="preserve">1063120241004765</t>
  </si>
  <si>
    <t xml:space="preserve">CUS063120240908270</t>
  </si>
  <si>
    <t xml:space="preserve">KEBONHARJO RT 002 /RW 004, Kebonharjo, Patebon, KAB-Kendal, 51351</t>
  </si>
  <si>
    <t xml:space="preserve">KEBONHARJO</t>
  </si>
  <si>
    <t xml:space="preserve">https://www.google.com/maps?z=12&amp;t=m&amp;q=loc:-6.931590+110.162370</t>
  </si>
  <si>
    <t xml:space="preserve">1063120241004770</t>
  </si>
  <si>
    <t xml:space="preserve">ABDUL ROHMAN</t>
  </si>
  <si>
    <t xml:space="preserve">P263000000895</t>
  </si>
  <si>
    <t xml:space="preserve">KERTOMULYO RT 005 /RW 004, Kertomulyo, Brangsong, KAB-Kendal, 51371</t>
  </si>
  <si>
    <t xml:space="preserve">Kertomulyo</t>
  </si>
  <si>
    <t xml:space="preserve">0831 - 89463115</t>
  </si>
  <si>
    <t xml:space="preserve">1063120241004772</t>
  </si>
  <si>
    <t xml:space="preserve">NUR LAZIMAH</t>
  </si>
  <si>
    <t xml:space="preserve">CUS063120190500956</t>
  </si>
  <si>
    <t xml:space="preserve">DUKUH KRASAK RT 005 /RW 003, Kangkung, Kangkung, KAB-Kendal, 51353 </t>
  </si>
  <si>
    <t xml:space="preserve">https://www.google.com/maps/place/6%C2%B055'52.6%22S+110%C2%B006'26.4%22E/@-6.931274,110.1047581,17z/data=!3m1!4b1!4m4!3m3!8m2!3d-6.931274!4d110.107333?entry=ttu&amp;g_ep=EgoyMDI1MTAwOC4wIKXMDSoASAFQAw%3D%3D</t>
  </si>
  <si>
    <t xml:space="preserve">0878 - 60153616</t>
  </si>
  <si>
    <t xml:space="preserve">1063120241004773</t>
  </si>
  <si>
    <t xml:space="preserve">CUS063120210304904</t>
  </si>
  <si>
    <t xml:space="preserve">DESA JAMBEARUM RT 005 /RW 006, Jambearum, Patebon, KAB-Kendal, 51351</t>
  </si>
  <si>
    <t xml:space="preserve">JAMBEARUM</t>
  </si>
  <si>
    <t xml:space="preserve">https://www.google.com/maps?z=12&amp;t=m&amp;q=loc:-6.972253+110.066376</t>
  </si>
  <si>
    <t xml:space="preserve">1063120241004774</t>
  </si>
  <si>
    <t xml:space="preserve">CUS063120210204819</t>
  </si>
  <si>
    <t xml:space="preserve">Gubugsari RT 002 /RW 004, Pegandon, Pegandon, KAB-Kendal, 51357</t>
  </si>
  <si>
    <t xml:space="preserve">https://www.google.com/maps?z=12&amp;t=m&amp;q=loc:-6.966197+110.161527</t>
  </si>
  <si>
    <t xml:space="preserve">085713797089</t>
  </si>
  <si>
    <t xml:space="preserve">CUS063120231107843            </t>
  </si>
  <si>
    <t xml:space="preserve">DK PONGOL SARI RT 005 /RW 002, Madugowongjati, Gringsing, KAB-Batang, 51281</t>
  </si>
  <si>
    <t xml:space="preserve">Madugowongjati</t>
  </si>
  <si>
    <t xml:space="preserve">Gringsing</t>
  </si>
  <si>
    <t xml:space="preserve">https://www.google.com/maps/place/6%C2%B059'19.5%22S+109%C2%B059'08.9%22E/@-6.98875,109.9832371,17z/data=!3m1!4b1!4m4!3m3!8m2!3d-6.98875!4d109.985812?entry=ttu&amp;g_ep=EgoyMDI2MDYyOS4wIKXMDSoASAFQAw%3D%3D</t>
  </si>
  <si>
    <t xml:space="preserve">0857 - 02254450</t>
  </si>
  <si>
    <t xml:space="preserve">P091A002037332                </t>
  </si>
  <si>
    <t xml:space="preserve">Ngasinan RT 009 /RW 003, Ngasinan, Weleri, KAB-Kendal, 51355</t>
  </si>
  <si>
    <t xml:space="preserve">Ngasinan</t>
  </si>
  <si>
    <t xml:space="preserve">https://www.google.com/maps?z=12&amp;t=m&amp;q=loc:-6.971223+110.090367</t>
  </si>
  <si>
    <t xml:space="preserve">0813 - 30005452</t>
  </si>
  <si>
    <t xml:space="preserve">1063120241004792</t>
  </si>
  <si>
    <t xml:space="preserve">CUS063120210905401</t>
  </si>
  <si>
    <t xml:space="preserve">DUKUH KEBONSARI RT 004 /RW 002, Kebondalem, Gringsing, KAB-Batang, 51281</t>
  </si>
  <si>
    <t xml:space="preserve">KEBONDALEM</t>
  </si>
  <si>
    <t xml:space="preserve">https://www.google.com/maps?z=12&amp;t=m&amp;q=loc:-6.986466+110.129005</t>
  </si>
  <si>
    <t xml:space="preserve">0838 - 08077290</t>
  </si>
  <si>
    <t xml:space="preserve">CUS063120241008307            </t>
  </si>
  <si>
    <t xml:space="preserve">DESA GEBANGANOM WETAN RT 006 /RW 001, Gebanganom Wetan, Kangkung, KAB-Kendal, 51353</t>
  </si>
  <si>
    <t xml:space="preserve">Gebanganom Wetan</t>
  </si>
  <si>
    <t xml:space="preserve">https://www.google.com/maps/place/6%C2%B056'20.0%22S+110%C2%B007'29.6%22E/@-6.938877,110.1223221,17z/data=!3m1!4b1!4m4!3m3!8m2!3d-6.938877!4d110.124897?entry=ttu&amp;g_ep=EgoyMDI2MDcwOC4wIKXMDSoASAFQAw%3D%3D</t>
  </si>
  <si>
    <t xml:space="preserve">EXCELLENT
</t>
  </si>
  <si>
    <t xml:space="preserve">085520754148</t>
  </si>
  <si>
    <t xml:space="preserve">1063120241004801</t>
  </si>
  <si>
    <t xml:space="preserve">SUYITNO</t>
  </si>
  <si>
    <t xml:space="preserve">CUS063120221206924</t>
  </si>
  <si>
    <t xml:space="preserve">DUSUN BALONG RT 003 /RW 002, Randusari, Rowosari, KAB-Kendal, 51354 </t>
  </si>
  <si>
    <t xml:space="preserve">RANDUSARI</t>
  </si>
  <si>
    <t xml:space="preserve">https://www.google.com/maps/place/6%C2%B056'27.2%22S+110%C2%B004'43.8%22E/@-6.940878,110.0762551,17z/data=!3m1!4b1!4m4!3m3!8m2!3d-6.940878!4d110.07883?entry=ttu&amp;g_ep=EgoyMDI1MTEwMi4wIKXMDSoASAFQAw%3D%3D</t>
  </si>
  <si>
    <t xml:space="preserve">0859 - 159643886</t>
  </si>
  <si>
    <t xml:space="preserve">1063120241004804</t>
  </si>
  <si>
    <t xml:space="preserve">KUNYATI</t>
  </si>
  <si>
    <t xml:space="preserve">CUS063120241008311</t>
  </si>
  <si>
    <t xml:space="preserve">DUSUN KUMPULSARI RT 009 /RW 004, Gempolsewu, Rowosari, KAB-Kendal, 51354 </t>
  </si>
  <si>
    <t xml:space="preserve">GEMPOLSEWU</t>
  </si>
  <si>
    <t xml:space="preserve">https://www.google.com/maps/place/6%C2%B055'10.6%22S+110%C2%B002'51.7%22E/@-6.919615,110.0451261,17z/data=!3m1!4b1!4m4!3m3!8m2!3d-6.919615!4d110.047701?entry=ttu&amp;g_ep=EgoyMDI1MTEwMi4wIKXMDSoASAFQAw%3D%3D</t>
  </si>
  <si>
    <t xml:space="preserve">0831 - 33278049</t>
  </si>
  <si>
    <t xml:space="preserve">P19002037152                  </t>
  </si>
  <si>
    <t xml:space="preserve">DESA PUGUH RT 001/004 RT 01 /RW 04, Puguh, Pegandon, KAB-Kendal, 51357</t>
  </si>
  <si>
    <t xml:space="preserve">Puguh</t>
  </si>
  <si>
    <t xml:space="preserve">Pegandon</t>
  </si>
  <si>
    <t xml:space="preserve">0882 - 007565578</t>
  </si>
  <si>
    <t xml:space="preserve">1063120241104819</t>
  </si>
  <si>
    <t xml:space="preserve">P19002058659                  </t>
  </si>
  <si>
    <t xml:space="preserve">PERUM GRAHA RAYA NO. 265 RT 008 /RW 010, Sarirejo, Kaliwungu, KAB-Kendal, 51372</t>
  </si>
  <si>
    <t xml:space="preserve">http://maps.google.com/maps?z=12&amp;t=m&amp;q=loc:-6.942429+110.253472</t>
  </si>
  <si>
    <t xml:space="preserve">0812 - 25579340</t>
  </si>
  <si>
    <t xml:space="preserve">1063120241104822</t>
  </si>
  <si>
    <t xml:space="preserve">P19002059885</t>
  </si>
  <si>
    <t xml:space="preserve">ROWOSARI RT 005 /RW 007, Kutoharjo, Kaliwungu, KAB-Kendal, 51372</t>
  </si>
  <si>
    <t xml:space="preserve">https://www.google.com/maps?z=12&amp;t=m&amp;q=loc:-6.959982+110.263633</t>
  </si>
  <si>
    <t xml:space="preserve">0895622750727</t>
  </si>
  <si>
    <t xml:space="preserve">1063120241104824</t>
  </si>
  <si>
    <t xml:space="preserve">HENDRI OKTAF DIANTO</t>
  </si>
  <si>
    <t xml:space="preserve">CUS063120240207962</t>
  </si>
  <si>
    <t xml:space="preserve">SEMBUNG RT 002 /RW 007, Sembung, Banyuputih, KAB-Batang, 51271 </t>
  </si>
  <si>
    <t xml:space="preserve">https://www.google.com/maps/place/6%C2%B057'40.1%22S+109%C2%B056'53.9%22E/@-6.961133,109.9457271,17z/data=!3m1!4b1!4m4!3m3!8m2!3d-6.961133!4d109.948302?entry=ttu&amp;g_ep=EgoyMDI1MTEwMi4wIKXMDSoASAFQAw%3D%3D</t>
  </si>
  <si>
    <t xml:space="preserve">0895385909773</t>
  </si>
  <si>
    <t xml:space="preserve">1063120241104826</t>
  </si>
  <si>
    <t xml:space="preserve">DHANY PURBA</t>
  </si>
  <si>
    <t xml:space="preserve">CUS063120200204112            </t>
  </si>
  <si>
    <t xml:space="preserve">JL MANGGA IV PURIN RT 003 /RW 008, Purwokerto, Patebon, KAB-Kendal, 51351</t>
  </si>
  <si>
    <t xml:space="preserve">https://www.google.com/maps?z=12&amp;t=m&amp;q=loc:-6.924772+110.183666</t>
  </si>
  <si>
    <t xml:space="preserve">0821 - 33960942</t>
  </si>
  <si>
    <t xml:space="preserve">1063120241104830</t>
  </si>
  <si>
    <t xml:space="preserve">P19002049376 </t>
  </si>
  <si>
    <t xml:space="preserve">DESA TANJUNGANOM RT 002 /RW 002, Tanjunganom, Rowosari, KAB-Kendal, 51354 </t>
  </si>
  <si>
    <t xml:space="preserve">TANJUNGANOM</t>
  </si>
  <si>
    <t xml:space="preserve">https://www.google.com/maps/place/6%C2%B056'12.2%22S+110%C2%B003'17.0%22E/@-6.936715,110.0521421,17z/data=!3m1!4b1!4m4!3m3!8m2!3d-6.936715!4d110.054717?entry=ttu&amp;g_ep=EgoyMDI1MTEwMi4wIKXMDSoASAFQAw%3D%3D</t>
  </si>
  <si>
    <t xml:space="preserve">083846314921</t>
  </si>
  <si>
    <t xml:space="preserve">1063120241104833</t>
  </si>
  <si>
    <t xml:space="preserve">P19002064722</t>
  </si>
  <si>
    <t xml:space="preserve">GONDANG RT 003 /RW 001, Gondang, Cepiring, KAB-Kendal, 51352 </t>
  </si>
  <si>
    <t xml:space="preserve">GONDANG</t>
  </si>
  <si>
    <t xml:space="preserve">https://www.google.com/maps/place/6%C2%B056'10.0%22S+110%C2%B008'17.0%22E/@-6.936104,110.1354901,17z/data=!3m1!4b1!4m4!3m3!8m2!3d-6.936104!4d110.138065?entry=ttu&amp;g_ep=EgoyMDI1MTEwMi4wIKXMDSoASAFQAw%3D%3D</t>
  </si>
  <si>
    <t xml:space="preserve">089685856244</t>
  </si>
  <si>
    <t xml:space="preserve">CUS063120221106822            </t>
  </si>
  <si>
    <t xml:space="preserve">TEMPEL RT 010 /RW 003, Bumiayu, Weleri, KAB-Kendal, 51355</t>
  </si>
  <si>
    <t xml:space="preserve">Bumiayu</t>
  </si>
  <si>
    <t xml:space="preserve">https://www.google.com/maps?z=12&amp;t=m&amp;q=loc:-6.981893+110.073458</t>
  </si>
  <si>
    <t xml:space="preserve">083121132031</t>
  </si>
  <si>
    <t xml:space="preserve">1063120241104841</t>
  </si>
  <si>
    <t xml:space="preserve">P19002032722</t>
  </si>
  <si>
    <t xml:space="preserve">SOJOMERTO RT 002 /RW 001, Sojomerto, Gemuh, KABUPATEN, 51356</t>
  </si>
  <si>
    <t xml:space="preserve">Sojomerto</t>
  </si>
  <si>
    <t xml:space="preserve">081284411820</t>
  </si>
  <si>
    <t xml:space="preserve">1063120241104846</t>
  </si>
  <si>
    <t xml:space="preserve">CUS063120210104742</t>
  </si>
  <si>
    <t xml:space="preserve"> MONTONGSARI RT 004 /RW 003, Montongsari, Weleri, KAB-Kendal, 51355 </t>
  </si>
  <si>
    <t xml:space="preserve">Montongsari</t>
  </si>
  <si>
    <t xml:space="preserve">https://www.google.com/maps?z=12&amp;t=m&amp;q=loc:-6.959580+110.084456</t>
  </si>
  <si>
    <t xml:space="preserve">082138006931</t>
  </si>
  <si>
    <t xml:space="preserve">1063120241204852</t>
  </si>
  <si>
    <t xml:space="preserve">P19002065315</t>
  </si>
  <si>
    <t xml:space="preserve">BANGUNSARI RT 003 /RW 004, Bangunsari, Pagerruyung, KAB-Kendal, 51361</t>
  </si>
  <si>
    <t xml:space="preserve">https://maps.app.goo.gl/e68jQy5qQa48hoPn9</t>
  </si>
  <si>
    <t xml:space="preserve">SUGET ES KURNIAWAN</t>
  </si>
  <si>
    <t xml:space="preserve">1063120241204853</t>
  </si>
  <si>
    <t xml:space="preserve">CUS063120241208382</t>
  </si>
  <si>
    <t xml:space="preserve">PERUMAHAN TAMAN SAKURA BLOK B NO.20 RT 005 /RW 003, Jenarsari, Gemuh, KAB-Kendal, 51356</t>
  </si>
  <si>
    <t xml:space="preserve">https://www.google.com/maps?z=12&amp;t=m&amp;q=loc:-6.953781+110.096892</t>
  </si>
  <si>
    <t xml:space="preserve">1063120241204860</t>
  </si>
  <si>
    <t xml:space="preserve">Ahmad sokheh</t>
  </si>
  <si>
    <t xml:space="preserve">CUS063120210304887            </t>
  </si>
  <si>
    <t xml:space="preserve"> 	TUNGGULREJO RT 004 /RW 005, MUKIRAN, KALIWUNGU, KAB-Kendal, 50777</t>
  </si>
  <si>
    <t xml:space="preserve">081904453430</t>
  </si>
  <si>
    <t xml:space="preserve">1063120241204861</t>
  </si>
  <si>
    <t xml:space="preserve">JUNITA HIDAYATUS SOLEKHAH</t>
  </si>
  <si>
    <t xml:space="preserve">P19002053494</t>
  </si>
  <si>
    <t xml:space="preserve">GRAHA RAYA 2 BLOK Q NO 1157 RT 000 /RW 000, Sarirejo, Kaliwungu, KAB-Kendal, 51372</t>
  </si>
  <si>
    <t xml:space="preserve">https://www.google.com/maps?z=12&amp;t=m&amp;q=loc:-6.947228+110.250266</t>
  </si>
  <si>
    <t xml:space="preserve">1063120241204867</t>
  </si>
  <si>
    <t xml:space="preserve">CUS063120241208392</t>
  </si>
  <si>
    <t xml:space="preserve">SIDOMUKTI RT 005 /RW 003, Sidomukti, Weleri, KAB-Kendal, 51355</t>
  </si>
  <si>
    <t xml:space="preserve">https://www.google.com/maps/place/6%C2%B059'44.0%22S+110%C2%B004'16.4%22E/@-6.995563,110.0686371,17z/data=!3m1!4b1!4m4!3m3!8m2!3d-6.995563!4d110.071212?entry=ttu&amp;g_ep=EgoyMDI2MDExMy4wIKXMDSoKLDEwMDc5MjA3MUgBUAM%3D</t>
  </si>
  <si>
    <t xml:space="preserve">1063120241204871</t>
  </si>
  <si>
    <t xml:space="preserve">P19002008564</t>
  </si>
  <si>
    <t xml:space="preserve">KP. KEMANTENAN RT 004 /RW 007, Kutoharjo, Kaliwungu, KAB-Kendal, 51372</t>
  </si>
  <si>
    <t xml:space="preserve">https://www.google.com/maps?z=12&amp;t=m&amp;q=loc:-6.959046+110.260026</t>
  </si>
  <si>
    <t xml:space="preserve">0895692242590</t>
  </si>
  <si>
    <t xml:space="preserve">CUS063120221006705            </t>
  </si>
  <si>
    <t xml:space="preserve">SAMBONGSARI RT 003 /RW 001, Sambongsari, Weleri, KAB-Kendal, 51355</t>
  </si>
  <si>
    <t xml:space="preserve">google.com/maps?z=12&amp;t=m&amp;q=loc:-6.972847+110.059785</t>
  </si>
  <si>
    <t xml:space="preserve">08988383160</t>
  </si>
  <si>
    <t xml:space="preserve">1063120250104884</t>
  </si>
  <si>
    <t xml:space="preserve">P19002049219</t>
  </si>
  <si>
    <t xml:space="preserve">DUKUH SUWARU RT 008 /RW 002, Laban, Kangkung, KAB-Kendal, 51353</t>
  </si>
  <si>
    <t xml:space="preserve">LABAN</t>
  </si>
  <si>
    <t xml:space="preserve">https://www.google.com/maps?z=12&amp;t=m&amp;q=loc:-6.910637+110.098227</t>
  </si>
  <si>
    <t xml:space="preserve">CUS063120230307314            </t>
  </si>
  <si>
    <t xml:space="preserve">Langgengsari RT 005 /RW 002, Plantaran, Kaliwungu Selatan, KAB-Kendal, 51372</t>
  </si>
  <si>
    <t xml:space="preserve">Plantaran</t>
  </si>
  <si>
    <t xml:space="preserve">Kaliwungu Selatan</t>
  </si>
  <si>
    <t xml:space="preserve">https://www.google.com/maps/place/6%C2%B057'59.5%22S+110%C2%B014'47.6%22E/@-6.966538,110.2439671,17z/data=!3m1!4b1!4m4!3m3!8m2!3d-6.966538!4d110.246542?entry=ttu&amp;g_ep=EgoyMDI2MDYyOS4wIKXMDSoASAFQAw%3D%3D</t>
  </si>
  <si>
    <t xml:space="preserve">085713645032</t>
  </si>
  <si>
    <t xml:space="preserve">CUS063120240408019            </t>
  </si>
  <si>
    <t xml:space="preserve">KEBON ANOM RT 005 /RW 006, Kebongembong, Pagerruyung, KAB-Kendal, 51361</t>
  </si>
  <si>
    <t xml:space="preserve">Kebongembong</t>
  </si>
  <si>
    <t xml:space="preserve">https://www.google.com/maps/place/7%C2%B001'29.2%22S+110%C2%B001'10.2%22E/@-7.02477,110.0169101,17z/data=!3m1!4b1!4m4!3m3!8m2!3d-7.02477!4d110.019485?entry=ttu&amp;g_ep=EgoyMDI2MDYyOS4wIKXMDSoASAFQAw%3D%3D</t>
  </si>
  <si>
    <t xml:space="preserve">081285997827</t>
  </si>
  <si>
    <t xml:space="preserve">1063120250104888</t>
  </si>
  <si>
    <t xml:space="preserve">P19002059077</t>
  </si>
  <si>
    <t xml:space="preserve">SIDOMULYO RT 009 /RW 003, Sidomulyo, Cepiring, KAB-Kendal, 51352</t>
  </si>
  <si>
    <t xml:space="preserve">https://www.google.com/maps/place/6%C2%B054'36.4%22S+110%C2%B009'08.2%22E/@-6.910119,110.1496961,17z/data=!3m1!4b1!4m4!3m3!8m2!3d-6.910119!4d110.152271?entry=ttu&amp;g_ep=EgoyMDI2MDExMy4wIKXMDSoKLDEwMDc5MjA3MUgBUAM%3D</t>
  </si>
  <si>
    <t xml:space="preserve">1063120250104890</t>
  </si>
  <si>
    <t xml:space="preserve">SULASTRI</t>
  </si>
  <si>
    <t xml:space="preserve">P19000497021                  </t>
  </si>
  <si>
    <t xml:space="preserve">SULANGSARI RT 003/006 RT 000 /RW 000, Kutosari, Gringsing, KABUPATEN, 51281</t>
  </si>
  <si>
    <t xml:space="preserve">Kutosari</t>
  </si>
  <si>
    <t xml:space="preserve">083154803794</t>
  </si>
  <si>
    <t xml:space="preserve">1063120250104893</t>
  </si>
  <si>
    <t xml:space="preserve">P19002062828</t>
  </si>
  <si>
    <t xml:space="preserve">no</t>
  </si>
  <si>
    <t xml:space="preserve">Wonokerto RT 003 /RW 002, Kalices, Patean, KAB-Kendal, 51364</t>
  </si>
  <si>
    <t xml:space="preserve">KALICES</t>
  </si>
  <si>
    <t xml:space="preserve">https://www.google.com/maps?z=12&amp;t=m&amp;q=loc:-7.068753+110.098798</t>
  </si>
  <si>
    <t xml:space="preserve">CUS063120190701682            </t>
  </si>
  <si>
    <t xml:space="preserve"> 	CEPOKOMULYO RT 003 /RW 005, Cepokomulyo, Gemuh, KAB-Kendal, 51356</t>
  </si>
  <si>
    <t xml:space="preserve">Cepokomulyo</t>
  </si>
  <si>
    <t xml:space="preserve">google.com/maps?z=12&amp;t=m&amp;q=loc:-6.992719+110.128260</t>
  </si>
  <si>
    <t xml:space="preserve">082128848247</t>
  </si>
  <si>
    <t xml:space="preserve">1063120250104900</t>
  </si>
  <si>
    <t xml:space="preserve">FARIKHAH</t>
  </si>
  <si>
    <t xml:space="preserve">CUS063120201004537</t>
  </si>
  <si>
    <t xml:space="preserve">BULAK I RT 004 /RW 001, Bulak, Rowosari, KAB-Kendal, 51354</t>
  </si>
  <si>
    <t xml:space="preserve">BULAK</t>
  </si>
  <si>
    <t xml:space="preserve">https://www.google.com/maps?z=12&amp;t=m&amp;q=loc:-6.931650+110.064320</t>
  </si>
  <si>
    <t xml:space="preserve">1063120250204913</t>
  </si>
  <si>
    <t xml:space="preserve">CUS063120190400364</t>
  </si>
  <si>
    <t xml:space="preserve">WATUDONO RT 002 /RW 005, Surokonto Wetan, Pagerruyung, KAB-Kendal, 51361</t>
  </si>
  <si>
    <t xml:space="preserve">Surokonto Wetan</t>
  </si>
  <si>
    <t xml:space="preserve">https://www.google.com/maps/place/7%C2%B004'48.8%22S+110%C2%B002'56.0%22E/@-7.08023,110.0463121,17z/data=!3m1!4b1!4m4!3m3!8m2!3d-7.08023!4d110.048887?entry=ttu&amp;g_ep=EgoyMDI1MTAwOC4wIKXMDSoASAFQAw%3D%3D</t>
  </si>
  <si>
    <t xml:space="preserve">0823 - 24295732</t>
  </si>
  <si>
    <t xml:space="preserve">1063120250204917</t>
  </si>
  <si>
    <t xml:space="preserve">sofiyatun</t>
  </si>
  <si>
    <t xml:space="preserve">CUS063120220906574</t>
  </si>
  <si>
    <t xml:space="preserve">Bandengan RT 002 /RW 002, Bandengan, Kendal, KAB-Kendal, 51312</t>
  </si>
  <si>
    <t xml:space="preserve">https://www.google.com/maps?z=12&amp;t=m&amp;q=loc:-6.949090+110.197275</t>
  </si>
  <si>
    <t xml:space="preserve">89508387880</t>
  </si>
  <si>
    <t xml:space="preserve">Pikir-Pikir|PIKIR PIKIR | 12.000.000|23|889.000|8.705.000</t>
  </si>
  <si>
    <t xml:space="preserve">CUS063120240608105</t>
  </si>
  <si>
    <t xml:space="preserve">KEPYAR RT 001 /RW 002, Tlogopayung, Plantungan, KAB-Kendal, 51362</t>
  </si>
  <si>
    <t xml:space="preserve">https://www.google.com/maps?z=12&amp;t=m&amp;q=loc:-7.119953+109.962283</t>
  </si>
  <si>
    <t xml:space="preserve">082313738718</t>
  </si>
  <si>
    <t xml:space="preserve">1063120250304941</t>
  </si>
  <si>
    <t xml:space="preserve">NAETI FIJRIYAH</t>
  </si>
  <si>
    <t xml:space="preserve">P19002063779</t>
  </si>
  <si>
    <t xml:space="preserve">Gang selo selotugu RT 003 /RW 004, Pucangrejo, Gemuh, KAB-Kendal, 51356</t>
  </si>
  <si>
    <t xml:space="preserve">Pucangrejo</t>
  </si>
  <si>
    <t xml:space="preserve">https://www.google.com/maps?z=12&amp;t=m&amp;q=loc:-6.948692+110.105175</t>
  </si>
  <si>
    <t xml:space="preserve">0823 - 22504611</t>
  </si>
  <si>
    <t xml:space="preserve">1063120250304945</t>
  </si>
  <si>
    <t xml:space="preserve">P19002027842</t>
  </si>
  <si>
    <t xml:space="preserve">Dukuh tamanan, 002, 004, Tamangede, Gemuh, KENDAL, 51356 </t>
  </si>
  <si>
    <t xml:space="preserve">TAMANGEDE</t>
  </si>
  <si>
    <t xml:space="preserve">https://www.google.com/maps/place/6%C2%B057'25.1%22S+110%C2%B009'00.9%22E/@-6.956966,110.1476631,17z/data=!3m1!4b1!4m4!3m3!8m2!3d-6.956966!4d110.150238?entry=ttu&amp;g_ep=EgoyMDI1MTEwMi4wIKXMDSoASAFQAw%3D%3D</t>
  </si>
  <si>
    <t xml:space="preserve">0831 - 37531798</t>
  </si>
  <si>
    <t xml:space="preserve">1063120250304953</t>
  </si>
  <si>
    <t xml:space="preserve">MARSIDER TURNIP</t>
  </si>
  <si>
    <t xml:space="preserve">P19002058216                  </t>
  </si>
  <si>
    <t xml:space="preserve">SIDOREJO RT 008 /RW 008, Sidorejo, Brangsong, KAB-Kendal, 51371</t>
  </si>
  <si>
    <t xml:space="preserve">SIDOREJO</t>
  </si>
  <si>
    <t xml:space="preserve">https://www.google.com/maps/place/6%C2%B056'54.6%22S+110%C2%B013'25.5%22E/@-6.948507,110.2211771,17z/data=!3m1!4b1!4m4!3m3!8m2!3d-6.948507!4d110.223752?entry=ttu&amp;g_ep=EgoyMDI2MDYyOS4wIKXMDSoASAFQAw%3D%3D</t>
  </si>
  <si>
    <t xml:space="preserve">0823 - 33950506</t>
  </si>
  <si>
    <t xml:space="preserve">1063120250304959</t>
  </si>
  <si>
    <t xml:space="preserve">P19002022630</t>
  </si>
  <si>
    <t xml:space="preserve">MAJASEM RT 006 /RW 002, Mojoagung, Plantungan, KAB-Kendal, 51362 </t>
  </si>
  <si>
    <t xml:space="preserve">MOJOAGUNG</t>
  </si>
  <si>
    <t xml:space="preserve">https://www.google.com/maps/place/7%C2%B001'32.8%22S+110%C2%B000'23.6%22E/@-7.025773,110.0039741,17z/data=!3m1!4b1!4m4!3m3!8m2!3d-7.025773!4d110.006549?entry=ttu&amp;g_ep=EgoyMDI1MTEwMi4wIKXMDSoASAFQAw%3D%3D</t>
  </si>
  <si>
    <t xml:space="preserve">081399822639</t>
  </si>
  <si>
    <t xml:space="preserve">1063120250304962</t>
  </si>
  <si>
    <t xml:space="preserve">NUR CHASAN</t>
  </si>
  <si>
    <t xml:space="preserve">CUS063120190701885</t>
  </si>
  <si>
    <t xml:space="preserve">KALIRANDUGEDE RT 005 /RW 001, Kalirandu Gede, Cepiring, KAB-Kendal, 51352 </t>
  </si>
  <si>
    <t xml:space="preserve">KALIRANDU GEDE</t>
  </si>
  <si>
    <t xml:space="preserve">0895322163707</t>
  </si>
  <si>
    <t xml:space="preserve">1063120250304967</t>
  </si>
  <si>
    <t xml:space="preserve">SITI INWANA</t>
  </si>
  <si>
    <t xml:space="preserve">P19002049376                  </t>
  </si>
  <si>
    <t xml:space="preserve">DESA TANJUNGANOM RT 002 /RW 002, Tanjunganom, Rowosari, KAB-Kendal, 51354</t>
  </si>
  <si>
    <t xml:space="preserve">Tanjunganom</t>
  </si>
  <si>
    <t xml:space="preserve">0831 - 90163136</t>
  </si>
  <si>
    <t xml:space="preserve">1063120250304969</t>
  </si>
  <si>
    <t xml:space="preserve">CUS063120210705166</t>
  </si>
  <si>
    <t xml:space="preserve">JL PAHLAWAN GG MERDEKA RT 001 /RW 001, Langenharjo, Kendal, KENDAL, 51314 </t>
  </si>
  <si>
    <t xml:space="preserve">LANGENHARJO</t>
  </si>
  <si>
    <t xml:space="preserve">https://www.google.com/maps/place/6%C2%B055'27.4%22S+110%C2%B012'00.1%22E/@-6.924289,110.1974611,17z/data=!3m1!4b1!4m4!3m3!8m2!3d-6.924289!4d110.200036?entry=ttu&amp;g_ep=EgoyMDI1MTEwMi4wIKXMDSoASAFQAw%3D%3D</t>
  </si>
  <si>
    <t xml:space="preserve">085290314011</t>
  </si>
  <si>
    <t xml:space="preserve">1063120250404987</t>
  </si>
  <si>
    <t xml:space="preserve">KASIRUN</t>
  </si>
  <si>
    <t xml:space="preserve">P263000000113</t>
  </si>
  <si>
    <t xml:space="preserve">DUSUN GETASOMBO RT 004 /RW 004, Sendangdawuhan, Rowosari, KAB-Kendal, 51354</t>
  </si>
  <si>
    <t xml:space="preserve">Sendangdawuhan</t>
  </si>
  <si>
    <t xml:space="preserve">https://www.google.com/maps?z=12&amp;t=m&amp;q=loc:-6.937078+110.079561</t>
  </si>
  <si>
    <t xml:space="preserve">0831 - 95394870</t>
  </si>
  <si>
    <t xml:space="preserve">1063120250404992</t>
  </si>
  <si>
    <t xml:space="preserve">ERNA WIJAYANTI</t>
  </si>
  <si>
    <t xml:space="preserve">P19002055412                  </t>
  </si>
  <si>
    <t xml:space="preserve">MUNDU RT 002 /RW 001, Yosorejo, GRINGSING, KAB-Batang, 51281</t>
  </si>
  <si>
    <t xml:space="preserve">Yosorejo</t>
  </si>
  <si>
    <t xml:space="preserve">https://www.google.com/maps?z=12&amp;t=m&amp;q=loc:-6.935942+110.032642</t>
  </si>
  <si>
    <t xml:space="preserve">0838 - 70262419</t>
  </si>
  <si>
    <t xml:space="preserve">P19002062843                  </t>
  </si>
  <si>
    <t xml:space="preserve">Krajan RT 003 /RW 001, Karanganyar, Plantungan, KAB-Kendal, 51362</t>
  </si>
  <si>
    <t xml:space="preserve">Karanganyar</t>
  </si>
  <si>
    <t xml:space="preserve">Plantungan</t>
  </si>
  <si>
    <t xml:space="preserve">https://www.google.com/maps?z=12&amp;t=m&amp;q=loc:-7.079079+109.987101</t>
  </si>
  <si>
    <t xml:space="preserve">0877 - 11036604</t>
  </si>
  <si>
    <t xml:space="preserve">1063120250405005</t>
  </si>
  <si>
    <t xml:space="preserve">P19002061314</t>
  </si>
  <si>
    <t xml:space="preserve">DSN KLEPU RT 006 /RW 002, Ringinarum, Ringinarum, KAB-Kendal, 51356</t>
  </si>
  <si>
    <t xml:space="preserve">RINGINARUM</t>
  </si>
  <si>
    <t xml:space="preserve">https://www.google.com/maps?z=12&amp;t=m&amp;q=loc:-6.993245+110.108909</t>
  </si>
  <si>
    <t xml:space="preserve">1063120250505017</t>
  </si>
  <si>
    <t xml:space="preserve">P19002052964</t>
  </si>
  <si>
    <t xml:space="preserve">PENUNDAN RT 004 /RW 001, Penundan, Banyuputih, KAB-Batang, 51281</t>
  </si>
  <si>
    <t xml:space="preserve">https://maps.app.goo.gl/dDbiyBFWvo1HA9sT8</t>
  </si>
  <si>
    <t xml:space="preserve">P19002064959                  </t>
  </si>
  <si>
    <t xml:space="preserve">DUSUN GLANDANG RT 001 /RW 004, Kedungsuren, Kaliwungu Selatan, KAB-Kendal, 51372</t>
  </si>
  <si>
    <t xml:space="preserve">Kedungsuren</t>
  </si>
  <si>
    <t xml:space="preserve">0882 - 008249080</t>
  </si>
  <si>
    <t xml:space="preserve">1063120250505028</t>
  </si>
  <si>
    <t xml:space="preserve">P19002057227</t>
  </si>
  <si>
    <t xml:space="preserve">PABLENGAN RT 004 /RW 001, Sidokumpul, Patean, KAB-Kendal, 51364</t>
  </si>
  <si>
    <t xml:space="preserve">SIDOKUMPUL</t>
  </si>
  <si>
    <t xml:space="preserve">https://www.google.com/maps?z=12&amp;t=m&amp;q=loc:-7.079496+110.129690</t>
  </si>
  <si>
    <t xml:space="preserve">085331271880</t>
  </si>
  <si>
    <t xml:space="preserve">CUS063120210905347            </t>
  </si>
  <si>
    <t xml:space="preserve">BUMIAYU RT 008 /RW 003, Bumiayu, Weleri, KAB-Kendal, 51355</t>
  </si>
  <si>
    <t xml:space="preserve">Balok</t>
  </si>
  <si>
    <t xml:space="preserve">https://www.google.com/maps?z=12&amp;t=m&amp;q=loc:-6.980049+110.073777</t>
  </si>
  <si>
    <t xml:space="preserve">081904757492</t>
  </si>
  <si>
    <t xml:space="preserve">CUS063120210805233            </t>
  </si>
  <si>
    <t xml:space="preserve">TRIDI RT 007 /RW 003, Dempelrejo, Ngampel, KENDAL, 51357</t>
  </si>
  <si>
    <t xml:space="preserve">https://www.google.com/maps?z=12&amp;t=m&amp;q=loc:-6.954715+110.200846</t>
  </si>
  <si>
    <t xml:space="preserve">089653350080</t>
  </si>
  <si>
    <t xml:space="preserve">1063120250505036</t>
  </si>
  <si>
    <t xml:space="preserve">NUR WATI</t>
  </si>
  <si>
    <t xml:space="preserve">Konfirmasi Pasangan|KONFIRMASI ANAK | 13.900.000-5.479.000-965.000 | 11X1.647.000| = 7.456.000</t>
  </si>
  <si>
    <t xml:space="preserve">CUS063120230207301</t>
  </si>
  <si>
    <t xml:space="preserve">SOJOMERTO RT 004 /RW 001, Sojomerto, Gemuh, KAB-Kendal, 51356</t>
  </si>
  <si>
    <t xml:space="preserve">https://www.google.com/maps/place/7%C2%B001'05.9%22S+110%C2%B006'42.9%22E/@-7.018291,110.1093421,17z/data=!3m1!4b1!4m4!3m3!8m2!3d-7.018291!4d110.111917?entry=ttu&amp;g_ep=EgoyMDI2MDExMy4wIKXMDSoKLDEwMDc5MjA3MUgBUAM%3D</t>
  </si>
  <si>
    <t xml:space="preserve">1063120250505037</t>
  </si>
  <si>
    <t xml:space="preserve">MUHAMMAD SHOLIKIN</t>
  </si>
  <si>
    <t xml:space="preserve">P19002059817</t>
  </si>
  <si>
    <t xml:space="preserve">DESA MARGOSARI RT 001 /RW 002, Margosari, Patebon, KAB-Kendal, 51351</t>
  </si>
  <si>
    <t xml:space="preserve">MARGOSARI</t>
  </si>
  <si>
    <t xml:space="preserve">https://www.google.com/maps?z=12&amp;t=m&amp;q=loc:-6.943522+110.173218</t>
  </si>
  <si>
    <t xml:space="preserve">1063120250505038</t>
  </si>
  <si>
    <t xml:space="preserve">MUHAMMAD LUTFI HAKIM</t>
  </si>
  <si>
    <t xml:space="preserve">Konfirmasi Pasangan|KONFIRMASI PASANGAN| 10.000.000|23|709.000</t>
  </si>
  <si>
    <t xml:space="preserve">P19002064849                  </t>
  </si>
  <si>
    <t xml:space="preserve">BOTOMULYO RT 003/006 RT 000 /RW 000, Botomulyo, Cepiring, KABUPATEN, 51352</t>
  </si>
  <si>
    <t xml:space="preserve">Botomulyo</t>
  </si>
  <si>
    <t xml:space="preserve">0877 - 65948882</t>
  </si>
  <si>
    <t xml:space="preserve">1063120250505039</t>
  </si>
  <si>
    <t xml:space="preserve">ARIS SYAMSUDIN</t>
  </si>
  <si>
    <t xml:space="preserve">CUS063120250108413            </t>
  </si>
  <si>
    <t xml:space="preserve">JOHOREJOLEBAN RT 003 /RW 002, Johorejo, Gemuh, KAB-Kendal, 51356</t>
  </si>
  <si>
    <t xml:space="preserve">Johorejo</t>
  </si>
  <si>
    <t xml:space="preserve">0857 - 00351365</t>
  </si>
  <si>
    <t xml:space="preserve">1063120250505040</t>
  </si>
  <si>
    <t xml:space="preserve">P088A002034838</t>
  </si>
  <si>
    <t xml:space="preserve">BUGANGIN RT 005 /RW 002, Bugangin, Kendal, KAB-Kendal, 51314</t>
  </si>
  <si>
    <t xml:space="preserve">BUGANGIN</t>
  </si>
  <si>
    <t xml:space="preserve">https://www.google.com/maps?z=12&amp;t=m&amp;q=loc:-6.919923+110.186570</t>
  </si>
  <si>
    <t xml:space="preserve">1063120250505047</t>
  </si>
  <si>
    <t xml:space="preserve">SUISMAN</t>
  </si>
  <si>
    <t xml:space="preserve">CUS063120240508042</t>
  </si>
  <si>
    <t xml:space="preserve">DK BOGOSARI RT 003 /RW 001, Tambahrejo, Pagerruyung, KAB-Kendal, 51361</t>
  </si>
  <si>
    <t xml:space="preserve">TAMBAHREJO</t>
  </si>
  <si>
    <t xml:space="preserve">https://www.google.com/maps?z=12&amp;t=m&amp;q=loc:-7.053150+110.051690</t>
  </si>
  <si>
    <t xml:space="preserve">1063120250505054</t>
  </si>
  <si>
    <t xml:space="preserve">AHMAD SYAIFUDIN</t>
  </si>
  <si>
    <t xml:space="preserve">CUS063120250508674</t>
  </si>
  <si>
    <t xml:space="preserve">DUSUN TEMPEL RT 002 /RW 003, Sendangdawuhan, Rowosari, KAB-Kendal, 51354</t>
  </si>
  <si>
    <t xml:space="preserve">https://www.google.com/maps?z=12&amp;t=m&amp;q=loc:-6.935935+110.076394</t>
  </si>
  <si>
    <t xml:space="preserve">0878 - 44662931</t>
  </si>
  <si>
    <t xml:space="preserve">1063120250605067</t>
  </si>
  <si>
    <t xml:space="preserve">MOH  ZAKKI</t>
  </si>
  <si>
    <t xml:space="preserve">P19002053093                  </t>
  </si>
  <si>
    <t xml:space="preserve">GANG TENGAH RT 004 /RW 006, Weleri, Weleri, KAB-Kendal, 51355</t>
  </si>
  <si>
    <t xml:space="preserve">089627789914</t>
  </si>
  <si>
    <t xml:space="preserve">1063120250605068</t>
  </si>
  <si>
    <t xml:space="preserve">VIKA OVI ARDHANTI</t>
  </si>
  <si>
    <t xml:space="preserve">Konfirmasi Pasangan|INTEREST | 6.450.000|23|483.000|3.705.000</t>
  </si>
  <si>
    <t xml:space="preserve">CUS063120250608706            </t>
  </si>
  <si>
    <t xml:space="preserve">DESA KEBONHARJO RT 002 /RW 003, Kebonharjo, Patebon, KAB-Kendal, 51351</t>
  </si>
  <si>
    <t xml:space="preserve">Kebonharjo</t>
  </si>
  <si>
    <t xml:space="preserve">https://www.google.com/maps?z=12&amp;t=m&amp;q=loc:-6.928390+110.164549</t>
  </si>
  <si>
    <t xml:space="preserve">082324757120</t>
  </si>
  <si>
    <t xml:space="preserve">CUS063120250608712            </t>
  </si>
  <si>
    <t xml:space="preserve">PLELEN LOR RT 004 /RW 003, Plelen, GRINGSING, KAB-Batang, 51281</t>
  </si>
  <si>
    <t xml:space="preserve">Plelen</t>
  </si>
  <si>
    <t xml:space="preserve">https://www.google.com/maps?z=12&amp;t=m&amp;q=loc:-6.967304+110.017917</t>
  </si>
  <si>
    <t xml:space="preserve">082327099341</t>
  </si>
  <si>
    <t xml:space="preserve">P19002065334                  </t>
  </si>
  <si>
    <t xml:space="preserve">081328738453</t>
  </si>
  <si>
    <t xml:space="preserve">P19002037129                  </t>
  </si>
  <si>
    <t xml:space="preserve">CEPIRING RT 001 /RW 001, Cepiring, Cepiring, KAB-Kendal, 51352</t>
  </si>
  <si>
    <t xml:space="preserve">https://www.google.com/maps?z=12&amp;t=m&amp;q=loc:-6.923715+110.152227</t>
  </si>
  <si>
    <t xml:space="preserve">082135903307</t>
  </si>
  <si>
    <t xml:space="preserve">1063120250605085</t>
  </si>
  <si>
    <t xml:space="preserve">SAIPUL ADI SAPUTRA</t>
  </si>
  <si>
    <t xml:space="preserve">CUS063120250608729</t>
  </si>
  <si>
    <t xml:space="preserve">GANG SEBALONG, 006, 001, Kadilangu, Kangkung, KAB-Kendal, 51353</t>
  </si>
  <si>
    <t xml:space="preserve">https://www.google.com/maps?z=12&amp;t=m&amp;q=loc:-6.928970+110.122535</t>
  </si>
  <si>
    <t xml:space="preserve">1063120250605091</t>
  </si>
  <si>
    <t xml:space="preserve">DARWOTO</t>
  </si>
  <si>
    <t xml:space="preserve">P19002055198</t>
  </si>
  <si>
    <t xml:space="preserve">SUMBERAGUNG RT 002 /RW 004, Sumberagung, Weleri, KAB-Kendal, 51355</t>
  </si>
  <si>
    <t xml:space="preserve">SUMBERAGUNG</t>
  </si>
  <si>
    <t xml:space="preserve">https://www.google.com/maps?z=12&amp;t=m&amp;q=loc:-6.978953+110.081258</t>
  </si>
  <si>
    <t xml:space="preserve">P19002058761                  </t>
  </si>
  <si>
    <t xml:space="preserve">TEGAL SARI RT 006 /RW 004, Kangkung, Kangkung, KAB-Kendal, 51353</t>
  </si>
  <si>
    <t xml:space="preserve">https://www.google.com/maps?z=12&amp;t=m&amp;q=loc:-6.906785+110.114196</t>
  </si>
  <si>
    <t xml:space="preserve">085603077339</t>
  </si>
  <si>
    <t xml:space="preserve">1063120250705098</t>
  </si>
  <si>
    <t xml:space="preserve">CUS063120230107139</t>
  </si>
  <si>
    <t xml:space="preserve">KERTOMULYO RT 003 /RW 007, Kertomulyo, BRANGSONG, KAB-Kendal, 51371</t>
  </si>
  <si>
    <t xml:space="preserve">KERTOMULYO</t>
  </si>
  <si>
    <t xml:space="preserve">BRANGSONG</t>
  </si>
  <si>
    <t xml:space="preserve">https://www.google.com/maps?z=12&amp;t=m&amp;q=loc:-6.980070+110.207533</t>
  </si>
  <si>
    <t xml:space="preserve">1063120250705104</t>
  </si>
  <si>
    <t xml:space="preserve">FEBRIYAN ADITYA ROMADHONI</t>
  </si>
  <si>
    <t xml:space="preserve">P19002035823</t>
  </si>
  <si>
    <t xml:space="preserve">GANG KALIDAMAR RT 001 /RW 002, Weleri, Weleri, KAB-Kendal, 51355</t>
  </si>
  <si>
    <t xml:space="preserve">https://www.google.com/maps/place/6%C2%B058'02.7%22S+110%C2%B004'30.9%22E/@-6.967419,110.0726861,17z/data=!3m1!4b1!4m4!3m3!8m2!3d-6.967419!4d110.075261?entry=ttu&amp;g_ep=EgoyMDI2MDIwMS4wIKXMDSoKLDEwMDc5MjA3MUgBUAM%3D</t>
  </si>
  <si>
    <t xml:space="preserve">P19002027842                  </t>
  </si>
  <si>
    <t xml:space="preserve">DUKUH TAMANAN RT 002 /RW 004, Tamangede, Gemuh, KAB-Kendal, 51356</t>
  </si>
  <si>
    <t xml:space="preserve">Tamangede</t>
  </si>
  <si>
    <t xml:space="preserve">https://www.google.com/maps?z=12&amp;t=m&amp;q=loc:-6.956966+110.150238</t>
  </si>
  <si>
    <t xml:space="preserve">083137531798</t>
  </si>
  <si>
    <t xml:space="preserve">1063120250705132</t>
  </si>
  <si>
    <t xml:space="preserve">SLAMET KOSIM</t>
  </si>
  <si>
    <t xml:space="preserve">CUS063120221206992</t>
  </si>
  <si>
    <t xml:space="preserve">PIKATAN RT 002 /RW 004, Tlogopayung, Plantungan, KAB-Kendal, 51362</t>
  </si>
  <si>
    <t xml:space="preserve">https://www.google.com/maps?z=12&amp;t=m&amp;q=loc:-7.124209+109.951674</t>
  </si>
  <si>
    <t xml:space="preserve">CUS063120230907742            </t>
  </si>
  <si>
    <t xml:space="preserve">NGLUMBU RT 005 /RW 006, Tejorejo, Ringinarum, KAB-Kendal, 51356</t>
  </si>
  <si>
    <t xml:space="preserve">Tejorejo</t>
  </si>
  <si>
    <t xml:space="preserve">Ringinarum</t>
  </si>
  <si>
    <t xml:space="preserve">https://www.google.com/maps?z=12&amp;t=m&amp;q=loc:-7.007550+110.096400</t>
  </si>
  <si>
    <t xml:space="preserve">082112762289</t>
  </si>
  <si>
    <t xml:space="preserve">1063120250805174</t>
  </si>
  <si>
    <t xml:space="preserve">TEGUH ROZIKIN</t>
  </si>
  <si>
    <t xml:space="preserve">CUS063120240908253            </t>
  </si>
  <si>
    <t xml:space="preserve">TEGALSARI RT 002 /RW 003, Sambongsari, Weleri, KAB-Kendal, 51355</t>
  </si>
  <si>
    <t xml:space="preserve">https://www.google.com/maps?z=12&amp;t=m&amp;q=loc:-6.973830+110.055713</t>
  </si>
  <si>
    <t xml:space="preserve">0831 - 19810666</t>
  </si>
  <si>
    <t xml:space="preserve">1063120250805177</t>
  </si>
  <si>
    <t xml:space="preserve">RIZKY ARDIAWAN</t>
  </si>
  <si>
    <t xml:space="preserve">CUS063120250808873            </t>
  </si>
  <si>
    <t xml:space="preserve">ROWOSARI RT 001 /RW 002, Curugsewu, Patean, KAB-Kendal, 51364</t>
  </si>
  <si>
    <t xml:space="preserve">Curugsewu</t>
  </si>
  <si>
    <t xml:space="preserve">Patean</t>
  </si>
  <si>
    <t xml:space="preserve">https://www.google.com/maps/place/7%C2%B005'09.1%22S+110%C2%B002'41.8%22E/@-7.085863,110.0423741,17z/data=!3m1!4b1!4m4!3m3!8m2!3d-7.085863!4d110.044949?entry=ttu&amp;g_ep=EgoyMDI2MDYyOS4wIKXMDSoASAFQAw%3D%3D</t>
  </si>
  <si>
    <t xml:space="preserve">0851 - 57488099</t>
  </si>
  <si>
    <t xml:space="preserve">1063120250805181</t>
  </si>
  <si>
    <t xml:space="preserve">WISNU ANGGA DANANG SETIAWAN</t>
  </si>
  <si>
    <t xml:space="preserve">P19002063987                  </t>
  </si>
  <si>
    <t xml:space="preserve">MARGOREJO RT 002/001 RT 002 /RW 001, Margorejo, Cepiring, KAB-Kendal, 51352</t>
  </si>
  <si>
    <t xml:space="preserve">MARGOREJO</t>
  </si>
  <si>
    <t xml:space="preserve">0896 - 31614670</t>
  </si>
  <si>
    <t xml:space="preserve">1063120250805192</t>
  </si>
  <si>
    <t xml:space="preserve">YUNITA ARIS SETIYANI</t>
  </si>
  <si>
    <t xml:space="preserve">CUS063120230307405            </t>
  </si>
  <si>
    <t xml:space="preserve">DUKUH SIDOREJO RT 002 /RW 001, Surodadi, Gringsing, KAB-Batang, 51281</t>
  </si>
  <si>
    <t xml:space="preserve">Surodadi</t>
  </si>
  <si>
    <t xml:space="preserve">6°58'51.7"S 109°59'05.0"E - Google Maps</t>
  </si>
  <si>
    <t xml:space="preserve">0818 - 09699172</t>
  </si>
  <si>
    <t xml:space="preserve">CUS061120200805988            </t>
  </si>
  <si>
    <t xml:space="preserve">BK BABADAN RT 001 /RW 006, Kebonharjo, Patebon, KAB-Kendal, 51351</t>
  </si>
  <si>
    <t xml:space="preserve">https://www.google.com/maps/place/6%C2%B055'51.0%22S+110%C2%B009'24.0%22E/@-6.930839,110.1540861,17z/data=!3m1!4b1!4m4!3m3!8m2!3d-6.930839!4d110.156661?entry=ttu&amp;g_ep=EgoyMDI2MDcwNy4wIKXMDSoASAFQAw%3D%3D</t>
  </si>
  <si>
    <t xml:space="preserve">0831 - 57425895</t>
  </si>
  <si>
    <t xml:space="preserve">1063120250905220</t>
  </si>
  <si>
    <t xml:space="preserve">MARIANI</t>
  </si>
  <si>
    <t xml:space="preserve">CUS063120250908953</t>
  </si>
  <si>
    <t xml:space="preserve">JENARSARI RT 002 /RW 002, Gempolsewu, Rowosari, KAB-Kendal, 51354</t>
  </si>
  <si>
    <t xml:space="preserve">ROWOsari</t>
  </si>
  <si>
    <t xml:space="preserve">https://www.google.com/maps?z=12&amp;t=m&amp;q=loc:-6.958125+110.099468</t>
  </si>
  <si>
    <t xml:space="preserve">1063120250905236</t>
  </si>
  <si>
    <t xml:space="preserve">P19002049199                  </t>
  </si>
  <si>
    <t xml:space="preserve">PUCUNG KEREP DESA PESAREN RT 002 /RW 004, Pesaren, Sukorejo, KAB-Kendal, 51363</t>
  </si>
  <si>
    <t xml:space="preserve">Pesaren</t>
  </si>
  <si>
    <t xml:space="preserve">https://www.google.com/maps?z=12&amp;t=m&amp;q=loc:-7.139930+110.005402</t>
  </si>
  <si>
    <t xml:space="preserve">0858 - 67822275</t>
  </si>
  <si>
    <t xml:space="preserve">CUS063120251008990            </t>
  </si>
  <si>
    <t xml:space="preserve">PLELEN LOR RT 001 /RW 003, Plelen, Gringsing, KAB-Batang, 51281</t>
  </si>
  <si>
    <t xml:space="preserve">https://www.google.com/maps?z=12&amp;t=m&amp;q=loc:-6.967080+110.013456</t>
  </si>
  <si>
    <t xml:space="preserve">0823 - 26605727</t>
  </si>
  <si>
    <t xml:space="preserve">CUS063120210304856            </t>
  </si>
  <si>
    <t xml:space="preserve"> 	DK PATUREN RT 03 /RW 04, Pagersari, Patean, KAB-Kendal, 51364</t>
  </si>
  <si>
    <t xml:space="preserve">Pagersari</t>
  </si>
  <si>
    <t xml:space="preserve">7°06'34.9"S 110°04'50.7"E - Google Maps</t>
  </si>
  <si>
    <t xml:space="preserve">0838 - 37785369</t>
  </si>
  <si>
    <t xml:space="preserve">063A7501000862                </t>
  </si>
  <si>
    <t xml:space="preserve">KRAJAN TIMUR RT 002 /RW 006, Sambongsari, Weleri, KAB-Kendal, 51355</t>
  </si>
  <si>
    <t xml:space="preserve">https://www.google.com/maps?z=12&amp;t=m&amp;q=loc:-6.972395+110.060835</t>
  </si>
  <si>
    <t xml:space="preserve">0822 - 80005143</t>
  </si>
  <si>
    <t xml:space="preserve">CUS063120220105807            </t>
  </si>
  <si>
    <t xml:space="preserve">KALIBARENG RT 002 /RW 001, Kalibareng, Patean, KAB-Kendal, 51364</t>
  </si>
  <si>
    <t xml:space="preserve">Kalibareng</t>
  </si>
  <si>
    <t xml:space="preserve">https://www.google.com/maps/place/7%C2%B002'47.0%22S+110%C2%B003'59.0%22E/@-7.0715822,110.0242411,13z/data=!4m4!3m3!8m2!3d-7.046375!4d110.066396?entry=ttu&amp;g_ep=EgoyMDI2MDcwNy4wIKXMDSoASAFQAw%3D%3D</t>
  </si>
  <si>
    <t xml:space="preserve">0813 - 93283556</t>
  </si>
  <si>
    <t xml:space="preserve">CUS063120190400364            </t>
  </si>
  <si>
    <t xml:space="preserve">https://www.google.com/maps?z=12&amp;t=m&amp;q=loc:-7.019104+110.054403</t>
  </si>
  <si>
    <t xml:space="preserve">1063120260505495</t>
  </si>
  <si>
    <t xml:space="preserve">ANDI NURHAKIKI</t>
  </si>
  <si>
    <t xml:space="preserve">P19002057227                  </t>
  </si>
  <si>
    <t xml:space="preserve">Sidokumpul</t>
  </si>
  <si>
    <t xml:space="preserve">https://www.google.com/maps?z=12&amp;t=m&amp;q=loc:-7.079573+110.129816</t>
  </si>
  <si>
    <t xml:space="preserve">P408000001074</t>
  </si>
  <si>
    <t xml:space="preserve">PERUM BTN BLOK B NO.8 RT 002 /RW 010, Langenharjo, Kendal, KAB-Kendal, 51314</t>
  </si>
  <si>
    <t xml:space="preserve">google.com/maps?z=12&amp;t=m&amp;q=loc:-6.584906+110.680564</t>
  </si>
  <si>
    <t xml:space="preserve">1577120240804769</t>
  </si>
  <si>
    <t xml:space="preserve">CUS589120200300570</t>
  </si>
  <si>
    <t xml:space="preserve">DK. DLISEN RT 004 /RW 001, Dlisen, Limpung, KAB-Batang, 51271</t>
  </si>
  <si>
    <t xml:space="preserve">DLISEN</t>
  </si>
  <si>
    <t xml:space="preserve">https://www.google.com/maps?z=12&amp;t=m&amp;q=loc:-7.005355+109.942639</t>
  </si>
  <si>
    <t xml:space="preserve">1684120241000174</t>
  </si>
  <si>
    <t xml:space="preserve">CUS684120241000423</t>
  </si>
  <si>
    <t xml:space="preserve"> PERUMAHAN BUKIT INDAH KALIWUNGU GANG UTARA BLOK E NO RT 006 /RW 007, Nolokerto, Kaliwungu, KAB-Kendal, 51372 </t>
  </si>
  <si>
    <t xml:space="preserve">https://www.google.com/maps?z=12&amp;t=m&amp;q=loc:-6.967313+110.257758</t>
  </si>
  <si>
    <t xml:space="preserve">0856 - 40367636</t>
  </si>
  <si>
    <t xml:space="preserve">CUS684120241200472</t>
  </si>
  <si>
    <t xml:space="preserve">MANGIR RT 002 /RW 004, Nolokerto, Kaliwungu, KAB-Kendal, 51372</t>
  </si>
  <si>
    <t xml:space="preserve">https://www.google.com/maps?z=12&amp;t=m&amp;q=loc:-6.971176+110.265561</t>
  </si>
  <si>
    <t xml:space="preserve">https://maps.app.goo.gl/VqUvHGUte5q5FV2JA?g_st=ac</t>
  </si>
  <si>
    <t xml:space="preserve">0895417316985</t>
  </si>
  <si>
    <t xml:space="preserve">CUS063120211005523</t>
  </si>
  <si>
    <t xml:space="preserve">DESA KEBONHARJO RT 003 /RW 002, Kebonharjo, Patebon, KAB-Kendal, 51351</t>
  </si>
  <si>
    <t xml:space="preserve">https://maps.app.goo.gl/UbVRH4J64x1zy54x6?g_st=ac</t>
  </si>
  <si>
    <t xml:space="preserve">089765286648</t>
  </si>
  <si>
    <t xml:space="preserve">CUS063120230107096</t>
  </si>
  <si>
    <t xml:space="preserve">PLELEN BONG RT 004 /RW 002, Plelen, Gringsing, KAB-Batang, 51281</t>
  </si>
  <si>
    <t xml:space="preserve">https://maps.app.goo.gl/fS2otZ2tHhtCfGpc9?g_st=ac</t>
  </si>
  <si>
    <t xml:space="preserve"> 0813 - 90760369 </t>
  </si>
  <si>
    <t xml:space="preserve">P19002051230</t>
  </si>
  <si>
    <t xml:space="preserve">DUKUH LOKSARI RT 001/007 RT 000 /RW 000, Kutosari, Gringsing, KABUPATEN, 51281</t>
  </si>
  <si>
    <t xml:space="preserve">CUS063120221106851</t>
  </si>
  <si>
    <t xml:space="preserve">SEMPU RT 001 /RW 007, Bendosari, Plantungan, KAB-Kendal, 51362</t>
  </si>
  <si>
    <t xml:space="preserve">Bendosari</t>
  </si>
  <si>
    <t xml:space="preserve">https://maps.app.goo.gl/7zqjjRucn41fW8jy7?g_st=ac</t>
  </si>
  <si>
    <t xml:space="preserve">CUS063120220406171</t>
  </si>
  <si>
    <t xml:space="preserve">Dukuh yosorejo RT 005 /RW 002, BULU, GRINGSING, KAB-Batang, 51281</t>
  </si>
  <si>
    <t xml:space="preserve">Bulu</t>
  </si>
  <si>
    <t xml:space="preserve">https://maps.app.goo.gl/rEM9Tfb7Pbuk3txV9?g_st=ac</t>
  </si>
  <si>
    <t xml:space="preserve">CUS063120220406100</t>
  </si>
  <si>
    <t xml:space="preserve">Purworejo RT 003 /RW 001, Purworejo, Ringinarum, KAB-Kendal, 51356</t>
  </si>
  <si>
    <t xml:space="preserve">Purworejo</t>
  </si>
  <si>
    <t xml:space="preserve">https://maps.app.goo.gl/QNqj5mLWdd4KqQEH6?g_st=ac</t>
  </si>
  <si>
    <t xml:space="preserve">P263000004312</t>
  </si>
  <si>
    <t xml:space="preserve">KRAJAN RT 004 /RW 004, Penyangkringan, Weleri, KAB-Kendal, 51355</t>
  </si>
  <si>
    <t xml:space="preserve">Penyangkringan</t>
  </si>
  <si>
    <t xml:space="preserve">https://maps.app.goo.gl/YyhTKr4USSez3QeEA?g_st=ac</t>
  </si>
  <si>
    <t xml:space="preserve">P19000182652</t>
  </si>
  <si>
    <t xml:space="preserve">DSN. BAKALAN RT 003 /RW 004, Ringinarum, Ringinarum, KAB-Kendal, 51356</t>
  </si>
  <si>
    <t xml:space="preserve">https://maps.app.goo.gl/UsFHMhBF4QMc2UQP9?g_st=ac</t>
  </si>
  <si>
    <t xml:space="preserve">063A7513000170</t>
  </si>
  <si>
    <t xml:space="preserve">GONDANG RT 005 /RW 003, Gondang, Cepiring, KAB-Kendal, 51352</t>
  </si>
  <si>
    <t xml:space="preserve">Gondang</t>
  </si>
  <si>
    <t xml:space="preserve">https://maps.app.goo.gl/Fe5ouofaBAnyMNpy9?g_st=ac</t>
  </si>
  <si>
    <t xml:space="preserve">CUS063120191103036</t>
  </si>
  <si>
    <t xml:space="preserve">KALIOMBO RT 001 /RW 003, Kaliyoso, Kangkung, KAB-Kendal, 51353</t>
  </si>
  <si>
    <t xml:space="preserve">Kaliyoso</t>
  </si>
  <si>
    <t xml:space="preserve">CUS061120191103668</t>
  </si>
  <si>
    <t xml:space="preserve">DUSUN LANJI RT 002 /RW 001, Lanji, Patebon, KAB-Kendal, 51349</t>
  </si>
  <si>
    <t xml:space="preserve">Lanji</t>
  </si>
  <si>
    <t xml:space="preserve">https://maps.app.goo.gl/HB3ei5jdVf2VNG978?g_st=ac</t>
  </si>
  <si>
    <t xml:space="preserve">P19002034855</t>
  </si>
  <si>
    <t xml:space="preserve">Dukuh ngrau RT 001 /RW 009, PENUNDAN, GRINGSING, KAB-Batang, 51281</t>
  </si>
  <si>
    <t xml:space="preserve">Penundan</t>
  </si>
  <si>
    <t xml:space="preserve">https://maps.app.goo.gl/Jgbidrcn5TzAPwU6A</t>
  </si>
  <si>
    <t xml:space="preserve">CUS063120221106761</t>
  </si>
  <si>
    <t xml:space="preserve">Truko RT 003 /RW 003, Surokonto Kulon, Pageruyung, KAB-Kendal, 51361</t>
  </si>
  <si>
    <t xml:space="preserve">Surokonto Kulon</t>
  </si>
  <si>
    <t xml:space="preserve">Pageruyung</t>
  </si>
  <si>
    <t xml:space="preserve">CUS063120250908941</t>
  </si>
  <si>
    <t xml:space="preserve">KEDAWUNG RT 004 /RW 001, Kedawung, Banyuputih, KAB-Batang, 51271</t>
  </si>
  <si>
    <t xml:space="preserve">https://maps.app.goo.gl/NFF7HAYNg6WWn3je6?g_st=ac</t>
  </si>
  <si>
    <t xml:space="preserve">P19002048783</t>
  </si>
  <si>
    <t xml:space="preserve">GANG APEL RT 002 /RW 002, Langenharjo, Kendal, KAB-Kendal, 51314</t>
  </si>
  <si>
    <t xml:space="preserve">Langenharjo</t>
  </si>
  <si>
    <t xml:space="preserve">CUS063120220406084</t>
  </si>
  <si>
    <t xml:space="preserve">NGRAU RT 001 /RW 002, Tungguelsari, BRANGSONG, KAB-Kendal, 51371</t>
  </si>
  <si>
    <t xml:space="preserve">Tungguelsari</t>
  </si>
  <si>
    <t xml:space="preserve">https://maps.app.goo.gl/vpRA7mqKSDUXi4kN7?g_st=ac</t>
  </si>
  <si>
    <t xml:space="preserve">0859159648923</t>
  </si>
  <si>
    <t xml:space="preserve">P19002064805</t>
  </si>
  <si>
    <t xml:space="preserve">REJOSARI RT 001 /RW 001, Lebo, GRINGSING, KAB-Batang, 51281</t>
  </si>
  <si>
    <t xml:space="preserve">Lebo</t>
  </si>
  <si>
    <t xml:space="preserve">https://maps.app.goo.gl/UCmtsHnS8e7gSqC8A?g_st=ac</t>
  </si>
  <si>
    <t xml:space="preserve">CUS063120190802152</t>
  </si>
  <si>
    <t xml:space="preserve">CARUBAN RT 004 /RW 001, Caruban, Ringinarum, KAB-Kendal, 51356</t>
  </si>
  <si>
    <t xml:space="preserve">Caruban</t>
  </si>
  <si>
    <t xml:space="preserve">https://maps.app.goo.gl/qsbRFsrGuhVfW9Rz5?g_st=ac</t>
  </si>
  <si>
    <t xml:space="preserve">CUS063120220506198</t>
  </si>
  <si>
    <t xml:space="preserve">PAGERSARI RT 004 /RW 001, Penaruban, Weleri, KAB-Kendal, 51355</t>
  </si>
  <si>
    <t xml:space="preserve">Penaruban</t>
  </si>
  <si>
    <t xml:space="preserve">https://maps.app.goo.gl/St8S6aaTLwXpkyHEA?g_st=ac</t>
  </si>
  <si>
    <t xml:space="preserve">https://maps.app.goo.gl/7dDPk3gKWrgRTB4G6?g_st=ac</t>
  </si>
  <si>
    <t xml:space="preserve">CUS063120250408591</t>
  </si>
  <si>
    <t xml:space="preserve">KEBONDALEM RT 003 /RW 004, Kedawung, Banyuputih, KAB-Batang, 51281</t>
  </si>
  <si>
    <t xml:space="preserve">https://maps.app.goo.gl/4qr7spyp8hjpvt9Q6?g_st=ac</t>
  </si>
  <si>
    <t xml:space="preserve">CUS589120190700267</t>
  </si>
  <si>
    <t xml:space="preserve">DK. GEDONGAN RT 005 /RW 001, Rejosari Barat, Tersono, KAB-Batang, 51272</t>
  </si>
  <si>
    <t xml:space="preserve">Rejosari Barat</t>
  </si>
  <si>
    <t xml:space="preserve">https://maps.app.goo.gl/tzZfQKZWX5ZCKRgt9?g_st=ac</t>
  </si>
  <si>
    <t xml:space="preserve">CUS063120260109126</t>
  </si>
  <si>
    <t xml:space="preserve">NOLOKERTO RT 008 /RW 005, Nolokerto, Kaliwungu, KAB-Kendal, 51372</t>
  </si>
  <si>
    <t xml:space="preserve">Nolokerto</t>
  </si>
  <si>
    <t xml:space="preserve">https://maps.app.goo.gl/wZYax64wDeD4QdUP6?g_st=ac</t>
  </si>
  <si>
    <t xml:space="preserve">CUS063120200304460</t>
  </si>
  <si>
    <t xml:space="preserve">BANYUPUTIH RT 001 /RW 003, Banyuputih, Banyuputih, KAB-Batang, 51271</t>
  </si>
  <si>
    <t xml:space="preserve">https://maps.app.goo.gl/6CeconKTS2x7KWuR7</t>
  </si>
  <si>
    <t xml:space="preserve">P19002059537</t>
  </si>
  <si>
    <t xml:space="preserve">BRAYO BARAT RT 001 /RW 008, Kertosari, Singorojo, KAB-Kendal, 51382</t>
  </si>
  <si>
    <t xml:space="preserve">Kertosari</t>
  </si>
  <si>
    <t xml:space="preserve">Singorojo</t>
  </si>
  <si>
    <t xml:space="preserve">https://maps.app.goo.gl/zBxe15bgBCktGW5w9?g_st=ac</t>
  </si>
  <si>
    <t xml:space="preserve">P19002052641</t>
  </si>
  <si>
    <t xml:space="preserve">KEBONAGUNG RT 003 /RW 003, Kebonagung, Ngampel, KAB-Kendal, 51357</t>
  </si>
  <si>
    <t xml:space="preserve">Kebonagung</t>
  </si>
  <si>
    <t xml:space="preserve">https://maps.app.goo.gl/6Q6xrkJ9SfRjdjA7A?g_st=ac</t>
  </si>
  <si>
    <t xml:space="preserve">P19002064216</t>
  </si>
  <si>
    <t xml:space="preserve">BRANGSONG SELATAN RT 017 /RW 006, Brangsong, KAB-Kendal, 51371</t>
  </si>
  <si>
    <t xml:space="preserve">https://maps.app.goo.gl/s8rDu1gZQzNDkdhK8?g_st=ac</t>
  </si>
  <si>
    <t xml:space="preserve">CUS063120230607603</t>
  </si>
  <si>
    <t xml:space="preserve">BANYUURIP WETAN RT 001 /RW 003, Banyuurip, Ngampel, KAB-Kendal, 51357</t>
  </si>
  <si>
    <t xml:space="preserve">Banyuurip</t>
  </si>
  <si>
    <t xml:space="preserve">https://maps.app.goo.gl/VZBedH6qtR5AbNBYA?g_st=ac</t>
  </si>
  <si>
    <t xml:space="preserve">0859126271423</t>
  </si>
  <si>
    <t xml:space="preserve">CUS063120230607614</t>
  </si>
  <si>
    <t xml:space="preserve">KOROWELANGANYAR RT 002 /RW 002, Korowelang Anyar, Cepiring, KAB-Kendal, 51352</t>
  </si>
  <si>
    <t xml:space="preserve">https://maps.app.goo.gl/tEJQJFW143KUcctv5?g_st=ac</t>
  </si>
  <si>
    <t xml:space="preserve">P057A002006596</t>
  </si>
  <si>
    <t xml:space="preserve"> DUKUH DAWUHAN RT 020 /RW 004, Deles, Bawang, KAB-Batang, 51274 </t>
  </si>
  <si>
    <t xml:space="preserve">Deles</t>
  </si>
  <si>
    <t xml:space="preserve">Bawang</t>
  </si>
  <si>
    <t xml:space="preserve">1063120260105370</t>
  </si>
  <si>
    <t xml:space="preserve">MOTOR</t>
  </si>
  <si>
    <t xml:space="preserve">ARINNINDYA PANGESTU ANDAYANI  </t>
  </si>
  <si>
    <t xml:space="preserve">CUS063120221206984            </t>
  </si>
  <si>
    <t xml:space="preserve">-</t>
  </si>
  <si>
    <t xml:space="preserve">1063120250905223</t>
  </si>
  <si>
    <t xml:space="preserve">SITI AMINAH                   </t>
  </si>
  <si>
    <t xml:space="preserve">CUS063120250908951            </t>
  </si>
  <si>
    <t xml:space="preserve">Nawangsari</t>
  </si>
  <si>
    <t xml:space="preserve">KAMSIN                        </t>
  </si>
  <si>
    <t xml:space="preserve">CUS063120220406084            </t>
  </si>
  <si>
    <t xml:space="preserve">Tunggulsari</t>
  </si>
  <si>
    <t xml:space="preserve">HANA IHZA MAULANI             </t>
  </si>
  <si>
    <t xml:space="preserve">CUS063120240708133            </t>
  </si>
  <si>
    <t xml:space="preserve">1063120251105291</t>
  </si>
  <si>
    <t xml:space="preserve">TURYONO                       </t>
  </si>
  <si>
    <t xml:space="preserve">CUS063120230207253            </t>
  </si>
  <si>
    <t xml:space="preserve">Ngadiwarno</t>
  </si>
  <si>
    <t xml:space="preserve">1063120251005259</t>
  </si>
  <si>
    <t xml:space="preserve">MOBIL</t>
  </si>
  <si>
    <t xml:space="preserve">LANIA DIKA OESITA PRATIWI     </t>
  </si>
  <si>
    <t xml:space="preserve">CUS063120251008999            </t>
  </si>
  <si>
    <t xml:space="preserve">1063120231004336</t>
  </si>
  <si>
    <t xml:space="preserve">ZAMRONI WIDIYANTO             </t>
  </si>
  <si>
    <t xml:space="preserve">CUS063120211205669            </t>
  </si>
  <si>
    <t xml:space="preserve">Mukiran</t>
  </si>
  <si>
    <t xml:space="preserve">1063120260905609</t>
  </si>
  <si>
    <t xml:space="preserve">WAHYU PRAYITNO                </t>
  </si>
  <si>
    <t xml:space="preserve">CUS063120230307430            </t>
  </si>
  <si>
    <t xml:space="preserve">Sawangan</t>
  </si>
  <si>
    <t xml:space="preserve">AISI ULFA LUTHFIANA           </t>
  </si>
  <si>
    <t xml:space="preserve">1063120250104889</t>
  </si>
  <si>
    <t xml:space="preserve">KHUSNUL FATIMAH               </t>
  </si>
  <si>
    <t xml:space="preserve">CUS063120240107898            </t>
  </si>
  <si>
    <t xml:space="preserve">Kluwih</t>
  </si>
  <si>
    <t xml:space="preserve">Bandar</t>
  </si>
  <si>
    <t xml:space="preserve">1063120241104810</t>
  </si>
  <si>
    <t xml:space="preserve">BAYU PRAMONO SUJIWO           </t>
  </si>
  <si>
    <t xml:space="preserve">CUS063120241108324            </t>
  </si>
  <si>
    <t xml:space="preserve">Kalibalik</t>
  </si>
  <si>
    <t xml:space="preserve">1063120250605070</t>
  </si>
  <si>
    <t xml:space="preserve">RUSMINAH                      </t>
  </si>
  <si>
    <t xml:space="preserve">CUS063120200304397            </t>
  </si>
  <si>
    <t xml:space="preserve">Tegalombo</t>
  </si>
  <si>
    <t xml:space="preserve">1063120260405440</t>
  </si>
  <si>
    <t xml:space="preserve">NANANG PRASTYO                </t>
  </si>
  <si>
    <t xml:space="preserve">CUS063120260409205            </t>
  </si>
  <si>
    <t xml:space="preserve">Gedong</t>
  </si>
  <si>
    <t xml:space="preserve">1063120241204849</t>
  </si>
  <si>
    <t xml:space="preserve">AWALUDIN                      </t>
  </si>
  <si>
    <t xml:space="preserve">P19002060187                  </t>
  </si>
  <si>
    <t xml:space="preserve">Kaligading</t>
  </si>
  <si>
    <t xml:space="preserve">Boja</t>
  </si>
  <si>
    <t xml:space="preserve">1063120260605529</t>
  </si>
  <si>
    <t xml:space="preserve">ERSA AJENG THOMA SOLENG       </t>
  </si>
  <si>
    <t xml:space="preserve">CUS063120260609316            </t>
  </si>
  <si>
    <t xml:space="preserve">Purwoyoso</t>
  </si>
  <si>
    <t xml:space="preserve">Ngaliyan</t>
  </si>
  <si>
    <t xml:space="preserve">1063120260505482</t>
  </si>
  <si>
    <t xml:space="preserve">YAKUP                         </t>
  </si>
  <si>
    <t xml:space="preserve">P19002048104                  </t>
  </si>
  <si>
    <t xml:space="preserve">Timbang</t>
  </si>
  <si>
    <t xml:space="preserve">1063120251205321</t>
  </si>
  <si>
    <t xml:space="preserve">EVAN PUTRA ROSADI             </t>
  </si>
  <si>
    <t xml:space="preserve">P19002064399                  </t>
  </si>
  <si>
    <t xml:space="preserve">Kumpulrejo</t>
  </si>
  <si>
    <t xml:space="preserve">VIKA OVI ARDHANTI             </t>
  </si>
  <si>
    <t xml:space="preserve">1063120260505493</t>
  </si>
  <si>
    <t xml:space="preserve">INDRI YUSTIA                  </t>
  </si>
  <si>
    <t xml:space="preserve">CUS063120200204199            </t>
  </si>
  <si>
    <t xml:space="preserve">1063120251205324</t>
  </si>
  <si>
    <t xml:space="preserve">ANTOK KURNIAWAN               </t>
  </si>
  <si>
    <t xml:space="preserve">CUS063120221206962            </t>
  </si>
  <si>
    <t xml:space="preserve">Sijeruk</t>
  </si>
  <si>
    <t xml:space="preserve">1063120250505050</t>
  </si>
  <si>
    <t xml:space="preserve">PT TRI KARYA WIGUNA           </t>
  </si>
  <si>
    <t xml:space="preserve">CUS061120210206815            </t>
  </si>
  <si>
    <t xml:space="preserve">Muktiharjo Lor</t>
  </si>
  <si>
    <t xml:space="preserve">Genuk</t>
  </si>
  <si>
    <t xml:space="preserve">1063120250805171</t>
  </si>
  <si>
    <t xml:space="preserve">AJI CATUR PAMUNGKAS           </t>
  </si>
  <si>
    <t xml:space="preserve">CUS063120221206941            </t>
  </si>
  <si>
    <t xml:space="preserve">Pamriyan</t>
  </si>
  <si>
    <t xml:space="preserve">1063120260405441</t>
  </si>
  <si>
    <t xml:space="preserve">AKHMAD RONI                   </t>
  </si>
  <si>
    <t xml:space="preserve">CUS063120250308491            </t>
  </si>
  <si>
    <t xml:space="preserve">1063120260605502</t>
  </si>
  <si>
    <t xml:space="preserve">ZULIANA LATIFAH               </t>
  </si>
  <si>
    <t xml:space="preserve">CUS063120240608085            </t>
  </si>
  <si>
    <t xml:space="preserve">1063120260405465</t>
  </si>
  <si>
    <t xml:space="preserve">Siti maghfuroh                </t>
  </si>
  <si>
    <t xml:space="preserve">CUS063120230407516            </t>
  </si>
  <si>
    <t xml:space="preserve">SITI ROHMAH                   </t>
  </si>
  <si>
    <t xml:space="preserve">P19002051230                  </t>
  </si>
  <si>
    <t xml:space="preserve">1063120250404983</t>
  </si>
  <si>
    <t xml:space="preserve">YULI PRASETYO                 </t>
  </si>
  <si>
    <t xml:space="preserve">CUS063120191203343            </t>
  </si>
  <si>
    <t xml:space="preserve">Banaran</t>
  </si>
  <si>
    <t xml:space="preserve">AHMAD SAIFUL                  </t>
  </si>
  <si>
    <t xml:space="preserve">CUS063120221106851            </t>
  </si>
  <si>
    <t xml:space="preserve">1063120250805185</t>
  </si>
  <si>
    <t xml:space="preserve">MOHAMAD PURWANTO              </t>
  </si>
  <si>
    <t xml:space="preserve">CUS063120200204242            </t>
  </si>
  <si>
    <t xml:space="preserve">Dawungsari</t>
  </si>
  <si>
    <t xml:space="preserve">1063120260605512</t>
  </si>
  <si>
    <t xml:space="preserve">GITA ANINDITA SEPTIANI        </t>
  </si>
  <si>
    <t xml:space="preserve">CUS063120250408579            </t>
  </si>
  <si>
    <t xml:space="preserve">1063120260605510</t>
  </si>
  <si>
    <t xml:space="preserve">Abiyogati                     </t>
  </si>
  <si>
    <t xml:space="preserve">CUS063120220205865            </t>
  </si>
  <si>
    <t xml:space="preserve">1063120260705545</t>
  </si>
  <si>
    <t xml:space="preserve">NITA ANDRIYANI                </t>
  </si>
  <si>
    <t xml:space="preserve">CUS063120260709335            </t>
  </si>
  <si>
    <t xml:space="preserve">1063120250505051</t>
  </si>
  <si>
    <t xml:space="preserve">MUHAMAD INDRA MAULANA         </t>
  </si>
  <si>
    <t xml:space="preserve">CUS063120190500829            </t>
  </si>
  <si>
    <t xml:space="preserve">1063120250705153</t>
  </si>
  <si>
    <t xml:space="preserve">HERU SETIAWAN                 </t>
  </si>
  <si>
    <t xml:space="preserve">CUS063120190501199            </t>
  </si>
  <si>
    <t xml:space="preserve">Sedayu</t>
  </si>
  <si>
    <t xml:space="preserve">RONAL EKA PRADITA             </t>
  </si>
  <si>
    <t xml:space="preserve">CUS063120191103036            </t>
  </si>
  <si>
    <t xml:space="preserve">1063120260205406</t>
  </si>
  <si>
    <t xml:space="preserve">IVAN RISKY ANANDA             </t>
  </si>
  <si>
    <t xml:space="preserve">CUS063120260209176            </t>
  </si>
  <si>
    <t xml:space="preserve">ICHWAN SETIAWAN               </t>
  </si>
  <si>
    <t xml:space="preserve">P19002019399                  </t>
  </si>
  <si>
    <t xml:space="preserve">1063120250104903</t>
  </si>
  <si>
    <t xml:space="preserve">MUSIRON                       </t>
  </si>
  <si>
    <t xml:space="preserve">CUS063120250108428            </t>
  </si>
  <si>
    <t xml:space="preserve">1063120260305422</t>
  </si>
  <si>
    <t xml:space="preserve">GHANIS                        </t>
  </si>
  <si>
    <t xml:space="preserve">CUS063120260309186            </t>
  </si>
  <si>
    <t xml:space="preserve">1063120251205348</t>
  </si>
  <si>
    <t xml:space="preserve">DIAN SETIANINGSIH             </t>
  </si>
  <si>
    <t xml:space="preserve">CUS063120220406156            </t>
  </si>
  <si>
    <t xml:space="preserve">Truko</t>
  </si>
  <si>
    <t xml:space="preserve">1063120260105380</t>
  </si>
  <si>
    <t xml:space="preserve">ANITA PUSPITASARI             </t>
  </si>
  <si>
    <t xml:space="preserve">P19002015745                  </t>
  </si>
  <si>
    <t xml:space="preserve">1063120250805168</t>
  </si>
  <si>
    <t xml:space="preserve">SURIP ARIYADI                 </t>
  </si>
  <si>
    <t xml:space="preserve">CUS063120190501173            </t>
  </si>
  <si>
    <t xml:space="preserve">Getas Blawong</t>
  </si>
  <si>
    <t xml:space="preserve">1063120250405013</t>
  </si>
  <si>
    <t xml:space="preserve">INDRIA KRISTIANA,SE           </t>
  </si>
  <si>
    <t xml:space="preserve">CUS063120250408595            </t>
  </si>
  <si>
    <t xml:space="preserve">Tlogosari Kulon</t>
  </si>
  <si>
    <t xml:space="preserve">Pedurungan</t>
  </si>
  <si>
    <t xml:space="preserve">1063120250204931</t>
  </si>
  <si>
    <t xml:space="preserve">AGUS SUPRIYONO                </t>
  </si>
  <si>
    <t xml:space="preserve">CUS063120250208467            </t>
  </si>
  <si>
    <t xml:space="preserve">Kalilumpang</t>
  </si>
  <si>
    <t xml:space="preserve">1063120260705546</t>
  </si>
  <si>
    <t xml:space="preserve">SULASTRI                      </t>
  </si>
  <si>
    <t xml:space="preserve">AHMAD SOLEH                   </t>
  </si>
  <si>
    <t xml:space="preserve">1063120241004784</t>
  </si>
  <si>
    <t xml:space="preserve">NURUL ISROYANI                </t>
  </si>
  <si>
    <t xml:space="preserve">CUS063120241008281            </t>
  </si>
  <si>
    <t xml:space="preserve">Trompo</t>
  </si>
  <si>
    <t xml:space="preserve">1063120250805159</t>
  </si>
  <si>
    <t xml:space="preserve">DARMANTO                      </t>
  </si>
  <si>
    <t xml:space="preserve">CUS063120220706430            </t>
  </si>
  <si>
    <t xml:space="preserve">Rejosari</t>
  </si>
  <si>
    <t xml:space="preserve">1063120250404996</t>
  </si>
  <si>
    <t xml:space="preserve">MASANAH                       </t>
  </si>
  <si>
    <t xml:space="preserve">CUS063120250308539            </t>
  </si>
  <si>
    <t xml:space="preserve">Mororejo</t>
  </si>
  <si>
    <t xml:space="preserve">KISYOTO HADIS                 </t>
  </si>
  <si>
    <t xml:space="preserve">CUS063120260109126            </t>
  </si>
  <si>
    <t xml:space="preserve">1063120260405462</t>
  </si>
  <si>
    <t xml:space="preserve">AGUS WIDARTO                  </t>
  </si>
  <si>
    <t xml:space="preserve">CUS063120260409211            </t>
  </si>
  <si>
    <t xml:space="preserve">Sumberejo</t>
  </si>
  <si>
    <t xml:space="preserve">1063120260405439</t>
  </si>
  <si>
    <t xml:space="preserve">ARI EGASAPUTRA                </t>
  </si>
  <si>
    <t xml:space="preserve">CUS063120230107139            </t>
  </si>
  <si>
    <t xml:space="preserve">1063120230704202</t>
  </si>
  <si>
    <t xml:space="preserve">Subhi                         </t>
  </si>
  <si>
    <t xml:space="preserve">CUS063120220306044            </t>
  </si>
  <si>
    <t xml:space="preserve">Manggungmangu</t>
  </si>
  <si>
    <t xml:space="preserve">1063120251205336</t>
  </si>
  <si>
    <t xml:space="preserve">RENDY CINDIYANA PUTRA         </t>
  </si>
  <si>
    <t xml:space="preserve">CUS063120251209100            </t>
  </si>
  <si>
    <t xml:space="preserve">1063120250304943</t>
  </si>
  <si>
    <t xml:space="preserve">DWI TJONDRO SULISTIYOWATI     </t>
  </si>
  <si>
    <t xml:space="preserve">P263000004312                 </t>
  </si>
  <si>
    <t xml:space="preserve">1063120250805186</t>
  </si>
  <si>
    <t xml:space="preserve">FAOZI MAKAREM                 </t>
  </si>
  <si>
    <t xml:space="preserve">CUS063120250808884            </t>
  </si>
  <si>
    <t xml:space="preserve">1063120251105290</t>
  </si>
  <si>
    <t xml:space="preserve">MUSYAFAK                      </t>
  </si>
  <si>
    <t xml:space="preserve">P19002063850                  </t>
  </si>
  <si>
    <t xml:space="preserve">1063120251105282</t>
  </si>
  <si>
    <t xml:space="preserve">SUBANDI                       </t>
  </si>
  <si>
    <t xml:space="preserve">CUS063120251109025            </t>
  </si>
  <si>
    <t xml:space="preserve">Tugu</t>
  </si>
  <si>
    <t xml:space="preserve">1063120250605063</t>
  </si>
  <si>
    <t xml:space="preserve">AKHMAD ZAKARIA                </t>
  </si>
  <si>
    <t xml:space="preserve">CUS063120250608702            </t>
  </si>
  <si>
    <t xml:space="preserve">1063120260505476</t>
  </si>
  <si>
    <t xml:space="preserve">MUHAMMAD ABDU ANNAFI HUSAIN   </t>
  </si>
  <si>
    <t xml:space="preserve">CUS063120260509245            </t>
  </si>
  <si>
    <t xml:space="preserve">1063120250204911</t>
  </si>
  <si>
    <t xml:space="preserve">HARTANA                       </t>
  </si>
  <si>
    <t xml:space="preserve">P19002010916                  </t>
  </si>
  <si>
    <t xml:space="preserve">Lebosari</t>
  </si>
  <si>
    <t xml:space="preserve">1063120231004313</t>
  </si>
  <si>
    <t xml:space="preserve">FIRDAUS                       </t>
  </si>
  <si>
    <t xml:space="preserve">CUS063120231007774            </t>
  </si>
  <si>
    <t xml:space="preserve">1063120231004311</t>
  </si>
  <si>
    <t xml:space="preserve">MUKHAMAD ARJUN NAJAH          </t>
  </si>
  <si>
    <t xml:space="preserve">CUS063120231007771            </t>
  </si>
  <si>
    <t xml:space="preserve">Bandengan</t>
  </si>
  <si>
    <t xml:space="preserve">1063120250505055</t>
  </si>
  <si>
    <t xml:space="preserve">SITI ROFIAH                   </t>
  </si>
  <si>
    <t xml:space="preserve">CUS063120250508676            </t>
  </si>
  <si>
    <t xml:space="preserve">Podorejo</t>
  </si>
  <si>
    <t xml:space="preserve">1063120260505488</t>
  </si>
  <si>
    <t xml:space="preserve">IMAM BASUKI                   </t>
  </si>
  <si>
    <t xml:space="preserve">P19000112943                  </t>
  </si>
  <si>
    <t xml:space="preserve">Tambahrejo</t>
  </si>
  <si>
    <t xml:space="preserve">1063120260705555</t>
  </si>
  <si>
    <t xml:space="preserve">TAUFIKHURROHMAN               </t>
  </si>
  <si>
    <t xml:space="preserve">CUS063120240708122            </t>
  </si>
  <si>
    <t xml:space="preserve">1063120250505049</t>
  </si>
  <si>
    <t xml:space="preserve">1063120251105293</t>
  </si>
  <si>
    <t xml:space="preserve">ABDUL KHOLIK                  </t>
  </si>
  <si>
    <t xml:space="preserve">CUS063120251109035            </t>
  </si>
  <si>
    <t xml:space="preserve">Ngadirejo</t>
  </si>
  <si>
    <t xml:space="preserve">Reban</t>
  </si>
  <si>
    <t xml:space="preserve">Minayati setiani              </t>
  </si>
  <si>
    <t xml:space="preserve">1063120260605527</t>
  </si>
  <si>
    <t xml:space="preserve">ANDRIANTO KRISNA MURTI        </t>
  </si>
  <si>
    <t xml:space="preserve">CUS063120250808886            </t>
  </si>
  <si>
    <t xml:space="preserve">1063120250404993</t>
  </si>
  <si>
    <t xml:space="preserve">DWI PUJIYANTI                 </t>
  </si>
  <si>
    <t xml:space="preserve">CUS063120250408571            </t>
  </si>
  <si>
    <t xml:space="preserve">Sentul</t>
  </si>
  <si>
    <t xml:space="preserve">1063120260705561</t>
  </si>
  <si>
    <t xml:space="preserve">MANISI                        </t>
  </si>
  <si>
    <t xml:space="preserve">P19002037428                  </t>
  </si>
  <si>
    <t xml:space="preserve">1063120260205392</t>
  </si>
  <si>
    <t xml:space="preserve">Mugiyanto                     </t>
  </si>
  <si>
    <t xml:space="preserve">CUS063120220305968            </t>
  </si>
  <si>
    <t xml:space="preserve">1063120250705115</t>
  </si>
  <si>
    <t xml:space="preserve">MIYATI                        </t>
  </si>
  <si>
    <t xml:space="preserve">CUS063120250708789            </t>
  </si>
  <si>
    <t xml:space="preserve">1063120260605501</t>
  </si>
  <si>
    <t xml:space="preserve">HERU RUSIYANTO                </t>
  </si>
  <si>
    <t xml:space="preserve">CUS063120241208382            </t>
  </si>
  <si>
    <t xml:space="preserve">Mengori</t>
  </si>
  <si>
    <t xml:space="preserve">Pemalang</t>
  </si>
  <si>
    <t xml:space="preserve">1063120241004786</t>
  </si>
  <si>
    <t xml:space="preserve">EVA RUSDIANA                  </t>
  </si>
  <si>
    <t xml:space="preserve">CUS063120241008287            </t>
  </si>
  <si>
    <t xml:space="preserve">Krajankulon</t>
  </si>
  <si>
    <t xml:space="preserve">1063120250605093</t>
  </si>
  <si>
    <t xml:space="preserve">SUKONO                        </t>
  </si>
  <si>
    <t xml:space="preserve">CUS063120250608742            </t>
  </si>
  <si>
    <t xml:space="preserve">1063120250805194</t>
  </si>
  <si>
    <t xml:space="preserve">FERRY ARDIANSAH SHOLIKIN      </t>
  </si>
  <si>
    <t xml:space="preserve">CUS063120250808918            </t>
  </si>
  <si>
    <t xml:space="preserve">Karanganom</t>
  </si>
  <si>
    <t xml:space="preserve">1063120240304512</t>
  </si>
  <si>
    <t xml:space="preserve">SRI HANDAYANI                 </t>
  </si>
  <si>
    <t xml:space="preserve">CUS063120230207212            </t>
  </si>
  <si>
    <t xml:space="preserve">Gunungwungkal</t>
  </si>
  <si>
    <t xml:space="preserve">1063120240304511</t>
  </si>
  <si>
    <t xml:space="preserve">1063120260505494</t>
  </si>
  <si>
    <t xml:space="preserve">ABDUL KHALIM                  </t>
  </si>
  <si>
    <t xml:space="preserve">CUS063120260509287            </t>
  </si>
  <si>
    <t xml:space="preserve">1063120260505479</t>
  </si>
  <si>
    <t xml:space="preserve">MOHAMAD NASOKA                </t>
  </si>
  <si>
    <t xml:space="preserve">CUS063120260509267            </t>
  </si>
  <si>
    <t xml:space="preserve">Sendangdawung</t>
  </si>
  <si>
    <t xml:space="preserve">1063120221203723</t>
  </si>
  <si>
    <t xml:space="preserve">Faldy Hardian                 </t>
  </si>
  <si>
    <t xml:space="preserve">CUS063120221206980            </t>
  </si>
  <si>
    <t xml:space="preserve">1063120220803372</t>
  </si>
  <si>
    <t xml:space="preserve">eneng                         </t>
  </si>
  <si>
    <t xml:space="preserve">CUS063120220806463            </t>
  </si>
  <si>
    <t xml:space="preserve">Kartikajaya</t>
  </si>
  <si>
    <t xml:space="preserve">1063120250805202</t>
  </si>
  <si>
    <t xml:space="preserve">CAESARIO ALDEN ISWARA         </t>
  </si>
  <si>
    <t xml:space="preserve">CUS063120250808914            </t>
  </si>
  <si>
    <t xml:space="preserve">Kalibanteng Kidul</t>
  </si>
  <si>
    <t xml:space="preserve">Semarang Barat</t>
  </si>
  <si>
    <t xml:space="preserve">1063120260205403</t>
  </si>
  <si>
    <t xml:space="preserve">SAYONO                        </t>
  </si>
  <si>
    <t xml:space="preserve">P19002042307                  </t>
  </si>
  <si>
    <t xml:space="preserve">Dlimas</t>
  </si>
  <si>
    <t xml:space="preserve">1063120260105381</t>
  </si>
  <si>
    <t xml:space="preserve">DWI PUTRANTO HERI KUSUMO      </t>
  </si>
  <si>
    <t xml:space="preserve">CUS063120260109135            </t>
  </si>
  <si>
    <t xml:space="preserve">1063120260105378</t>
  </si>
  <si>
    <t xml:space="preserve">ABDUL WAHAB                   </t>
  </si>
  <si>
    <t xml:space="preserve">CUS063120260109132            </t>
  </si>
  <si>
    <t xml:space="preserve">1063120250605058</t>
  </si>
  <si>
    <t xml:space="preserve">SUNDARTO                      </t>
  </si>
  <si>
    <t xml:space="preserve">CUS063120230207226            </t>
  </si>
  <si>
    <t xml:space="preserve">TUTI GONDO MARTONO            </t>
  </si>
  <si>
    <t xml:space="preserve">CUS063120200304460            </t>
  </si>
  <si>
    <t xml:space="preserve">1063120240704672</t>
  </si>
  <si>
    <t xml:space="preserve">FERI NUGROHO                  </t>
  </si>
  <si>
    <t xml:space="preserve">CUS063120240708154            </t>
  </si>
  <si>
    <t xml:space="preserve">Gempolsewu</t>
  </si>
  <si>
    <t xml:space="preserve">1063120241104825</t>
  </si>
  <si>
    <t xml:space="preserve">ANDIKA MUHAMAD OKSAN          </t>
  </si>
  <si>
    <t xml:space="preserve">CUS063120241108346            </t>
  </si>
  <si>
    <t xml:space="preserve">Triharjo</t>
  </si>
  <si>
    <t xml:space="preserve">1063120260705536</t>
  </si>
  <si>
    <t xml:space="preserve">ASYHARUDDIN                   </t>
  </si>
  <si>
    <t xml:space="preserve">P19002059077                  </t>
  </si>
  <si>
    <t xml:space="preserve">SOKHIFUL ANAM                 </t>
  </si>
  <si>
    <t xml:space="preserve">1063120250605086</t>
  </si>
  <si>
    <t xml:space="preserve">SUPRAPTO                      </t>
  </si>
  <si>
    <t xml:space="preserve">CUS063120250608728            </t>
  </si>
  <si>
    <t xml:space="preserve">Sukodadi</t>
  </si>
  <si>
    <t xml:space="preserve">1063120250705131</t>
  </si>
  <si>
    <t xml:space="preserve">BAMBANG BUDIONO               </t>
  </si>
  <si>
    <t xml:space="preserve">CUS063120250708813            </t>
  </si>
  <si>
    <t xml:space="preserve">1063120250505056</t>
  </si>
  <si>
    <t xml:space="preserve">TRI HUDI SANTOSO              </t>
  </si>
  <si>
    <t xml:space="preserve">CUS063120250508681            </t>
  </si>
  <si>
    <t xml:space="preserve">Pedurungan Tengah</t>
  </si>
  <si>
    <t xml:space="preserve">1063120250505023</t>
  </si>
  <si>
    <t xml:space="preserve">SUAEB SH                      </t>
  </si>
  <si>
    <t xml:space="preserve">CUS063120250508614            </t>
  </si>
  <si>
    <t xml:space="preserve">Sendangmulyo</t>
  </si>
  <si>
    <t xml:space="preserve">Tembalang</t>
  </si>
  <si>
    <t xml:space="preserve">1063120250505022</t>
  </si>
  <si>
    <t xml:space="preserve">FEBINA SURYANINGSIH           </t>
  </si>
  <si>
    <t xml:space="preserve">GRP19002064782                </t>
  </si>
  <si>
    <t xml:space="preserve">1063120251205332</t>
  </si>
  <si>
    <t xml:space="preserve">FARID JAYA KURNIAWAN          </t>
  </si>
  <si>
    <t xml:space="preserve">CUS063120251209082            </t>
  </si>
  <si>
    <t xml:space="preserve">SURYANTO                      </t>
  </si>
  <si>
    <t xml:space="preserve">P19000182652                  </t>
  </si>
  <si>
    <t xml:space="preserve">1063120251105308</t>
  </si>
  <si>
    <t xml:space="preserve">SRI HARTUTIK                  </t>
  </si>
  <si>
    <t xml:space="preserve">CUS063120251109049            </t>
  </si>
  <si>
    <t xml:space="preserve">SAIPUL ADI SAPUTRA            </t>
  </si>
  <si>
    <t xml:space="preserve">CUS063120250608729            </t>
  </si>
  <si>
    <t xml:space="preserve">Kadilangu</t>
  </si>
  <si>
    <t xml:space="preserve">1063120260505469</t>
  </si>
  <si>
    <t xml:space="preserve">KUSTIYANTO                    </t>
  </si>
  <si>
    <t xml:space="preserve">CUS063120191002864            </t>
  </si>
  <si>
    <t xml:space="preserve">1063120250705149</t>
  </si>
  <si>
    <t xml:space="preserve">RIBUT WAHIDI                  </t>
  </si>
  <si>
    <t xml:space="preserve">P19002065207                  </t>
  </si>
  <si>
    <t xml:space="preserve">1063120251005251</t>
  </si>
  <si>
    <t xml:space="preserve">Murwati                       </t>
  </si>
  <si>
    <t xml:space="preserve">CUS063120220806440            </t>
  </si>
  <si>
    <t xml:space="preserve">DEWI ERNAWATI                 </t>
  </si>
  <si>
    <t xml:space="preserve">P19002034855                  </t>
  </si>
  <si>
    <t xml:space="preserve">1063120250705133</t>
  </si>
  <si>
    <t xml:space="preserve">MUHLISIN                      </t>
  </si>
  <si>
    <t xml:space="preserve">CUS063120250708807            </t>
  </si>
  <si>
    <t xml:space="preserve">ENDAHWATI                     </t>
  </si>
  <si>
    <t xml:space="preserve">CUS063120190802152            </t>
  </si>
  <si>
    <t xml:space="preserve">1063120260705550</t>
  </si>
  <si>
    <t xml:space="preserve">DITA PUTRI PRATIWI            </t>
  </si>
  <si>
    <t xml:space="preserve">1063120241204875</t>
  </si>
  <si>
    <t xml:space="preserve">MUNASAROH                     </t>
  </si>
  <si>
    <t xml:space="preserve">CUS063120241208405            </t>
  </si>
  <si>
    <t xml:space="preserve">Jatirejo</t>
  </si>
  <si>
    <t xml:space="preserve">1063120260705564</t>
  </si>
  <si>
    <t xml:space="preserve">AJI CHOERUNNIZAR              </t>
  </si>
  <si>
    <t xml:space="preserve">CUS063120260709362            </t>
  </si>
  <si>
    <t xml:space="preserve">Karangsari</t>
  </si>
  <si>
    <t xml:space="preserve">1063120250905242</t>
  </si>
  <si>
    <t xml:space="preserve">AGUS ARIYANTO                 </t>
  </si>
  <si>
    <t xml:space="preserve">CUS063120250908983            </t>
  </si>
  <si>
    <t xml:space="preserve">Pagerdawung</t>
  </si>
  <si>
    <t xml:space="preserve">1063120260805599</t>
  </si>
  <si>
    <t xml:space="preserve">DWI PRABOWO                   </t>
  </si>
  <si>
    <t xml:space="preserve">CUS063120260209179            </t>
  </si>
  <si>
    <t xml:space="preserve">Tampingan</t>
  </si>
  <si>
    <t xml:space="preserve">1063120250805204</t>
  </si>
  <si>
    <t xml:space="preserve">ANGEL OKTAVIA RISTAOFANITA    </t>
  </si>
  <si>
    <t xml:space="preserve">CUS063120250808919            </t>
  </si>
  <si>
    <t xml:space="preserve">1063120251005274</t>
  </si>
  <si>
    <t xml:space="preserve">AHMAD MUSTOCHRI FAJAR SODIK   </t>
  </si>
  <si>
    <t xml:space="preserve">CUS063120251009011            </t>
  </si>
  <si>
    <t xml:space="preserve">Tambakrejo</t>
  </si>
  <si>
    <t xml:space="preserve">1063120241004789</t>
  </si>
  <si>
    <t xml:space="preserve">AHMADI                        </t>
  </si>
  <si>
    <t xml:space="preserve">CUS063120190701935            </t>
  </si>
  <si>
    <t xml:space="preserve">Mojoagung</t>
  </si>
  <si>
    <t xml:space="preserve">1063120251105299</t>
  </si>
  <si>
    <t xml:space="preserve">1063120250905219</t>
  </si>
  <si>
    <t xml:space="preserve">ZULFAHTUN NIMAH               </t>
  </si>
  <si>
    <t xml:space="preserve">CUS063120250908939            </t>
  </si>
  <si>
    <t xml:space="preserve">Pesarean</t>
  </si>
  <si>
    <t xml:space="preserve">Adiwerna</t>
  </si>
  <si>
    <t xml:space="preserve">1063120241004788</t>
  </si>
  <si>
    <t xml:space="preserve">NANANG DWIYANTO               </t>
  </si>
  <si>
    <t xml:space="preserve">CUS063120241008297            </t>
  </si>
  <si>
    <t xml:space="preserve">Tambaksari</t>
  </si>
  <si>
    <t xml:space="preserve">1063120250705140</t>
  </si>
  <si>
    <t xml:space="preserve">RIDA PRATININGSIH             </t>
  </si>
  <si>
    <t xml:space="preserve">CUS063120250708823            </t>
  </si>
  <si>
    <t xml:space="preserve">1063120260205408</t>
  </si>
  <si>
    <t xml:space="preserve">IWAN SUSANTO                  </t>
  </si>
  <si>
    <t xml:space="preserve">CUS063120260209178            </t>
  </si>
  <si>
    <t xml:space="preserve">1063120240304499</t>
  </si>
  <si>
    <t xml:space="preserve">HANDAYANI                     </t>
  </si>
  <si>
    <t xml:space="preserve">CUS063120240307966            </t>
  </si>
  <si>
    <t xml:space="preserve">1063120250304975</t>
  </si>
  <si>
    <t xml:space="preserve">JOKO HIJRIYANTO               </t>
  </si>
  <si>
    <t xml:space="preserve">CUS063120221206880            </t>
  </si>
  <si>
    <t xml:space="preserve">Protomulyo</t>
  </si>
  <si>
    <t xml:space="preserve">1063120260205395</t>
  </si>
  <si>
    <t xml:space="preserve">KASMURI                       </t>
  </si>
  <si>
    <t xml:space="preserve">CUS063120191002875            </t>
  </si>
  <si>
    <t xml:space="preserve">1063120250905207</t>
  </si>
  <si>
    <t xml:space="preserve">EKO BUDI ASIYANTO             </t>
  </si>
  <si>
    <t xml:space="preserve">CUS063120250908929            </t>
  </si>
  <si>
    <t xml:space="preserve">1063120250705134</t>
  </si>
  <si>
    <t xml:space="preserve">SUTRIMO                       </t>
  </si>
  <si>
    <t xml:space="preserve">P19002046904                  </t>
  </si>
  <si>
    <t xml:space="preserve">1063120250905226</t>
  </si>
  <si>
    <t xml:space="preserve">NURMA                         </t>
  </si>
  <si>
    <t xml:space="preserve">P19002057606                  </t>
  </si>
  <si>
    <t xml:space="preserve">1063120250905240</t>
  </si>
  <si>
    <t xml:space="preserve">IMRON ZAKARIA                 </t>
  </si>
  <si>
    <t xml:space="preserve">CUS063120191203325            </t>
  </si>
  <si>
    <t xml:space="preserve">1063120250605061</t>
  </si>
  <si>
    <t xml:space="preserve">TUGIRI                        </t>
  </si>
  <si>
    <t xml:space="preserve">CUS063120211005540            </t>
  </si>
  <si>
    <t xml:space="preserve">Kebumen</t>
  </si>
  <si>
    <t xml:space="preserve">1063120260305436</t>
  </si>
  <si>
    <t xml:space="preserve">Sapiin                        </t>
  </si>
  <si>
    <t xml:space="preserve">CUS063120210705132            </t>
  </si>
  <si>
    <t xml:space="preserve">Magelung</t>
  </si>
  <si>
    <t xml:space="preserve">1063120251005255</t>
  </si>
  <si>
    <t xml:space="preserve">SUMIYATI                      </t>
  </si>
  <si>
    <t xml:space="preserve">P19002062561                  </t>
  </si>
  <si>
    <t xml:space="preserve">1063120260305417</t>
  </si>
  <si>
    <t xml:space="preserve">SUWARNO                       </t>
  </si>
  <si>
    <t xml:space="preserve">CUS063120211205692            </t>
  </si>
  <si>
    <t xml:space="preserve">1063120260705551</t>
  </si>
  <si>
    <t xml:space="preserve">HIMMAHTUL ALIYAH              </t>
  </si>
  <si>
    <t xml:space="preserve">CUS063120250908959            </t>
  </si>
  <si>
    <t xml:space="preserve">NURSALIM                      </t>
  </si>
  <si>
    <t xml:space="preserve">1063120260605531</t>
  </si>
  <si>
    <t xml:space="preserve">NORITA FEBRIANA               </t>
  </si>
  <si>
    <t xml:space="preserve">CUS061120190802282            </t>
  </si>
  <si>
    <t xml:space="preserve">Kaligawe</t>
  </si>
  <si>
    <t xml:space="preserve">Gayamsari</t>
  </si>
  <si>
    <t xml:space="preserve">1063120221003530</t>
  </si>
  <si>
    <t xml:space="preserve">RUSMIN                        </t>
  </si>
  <si>
    <t xml:space="preserve">CUS061120200705787            </t>
  </si>
  <si>
    <t xml:space="preserve">1063120260705557</t>
  </si>
  <si>
    <t xml:space="preserve">AHMAD ROMADLON ARIYANTO       </t>
  </si>
  <si>
    <t xml:space="preserve">CUS063120260709342            </t>
  </si>
  <si>
    <t xml:space="preserve">Ngesrepbalong</t>
  </si>
  <si>
    <t xml:space="preserve">Limbangan</t>
  </si>
  <si>
    <t xml:space="preserve">1063120260605511</t>
  </si>
  <si>
    <t xml:space="preserve">ISMULYONO                     </t>
  </si>
  <si>
    <t xml:space="preserve">CUS063120190701752            </t>
  </si>
  <si>
    <t xml:space="preserve">PURNOMOSIDI                   </t>
  </si>
  <si>
    <t xml:space="preserve">1063120251005256</t>
  </si>
  <si>
    <t xml:space="preserve">ISTIQOMAH                     </t>
  </si>
  <si>
    <t xml:space="preserve">CUS063120251008997            </t>
  </si>
  <si>
    <t xml:space="preserve">1063120260305423</t>
  </si>
  <si>
    <t xml:space="preserve">SUPRIYONO                     </t>
  </si>
  <si>
    <t xml:space="preserve">P19002001298                  </t>
  </si>
  <si>
    <t xml:space="preserve">Tlahab</t>
  </si>
  <si>
    <t xml:space="preserve">1063120230103833</t>
  </si>
  <si>
    <t xml:space="preserve">Kiswanto                      </t>
  </si>
  <si>
    <t xml:space="preserve">CUS063120230107105            </t>
  </si>
  <si>
    <t xml:space="preserve">Tanjungsari</t>
  </si>
  <si>
    <t xml:space="preserve">1063120251205323</t>
  </si>
  <si>
    <t xml:space="preserve">RATNA LUTHFIYATI EL NADHIFAH  </t>
  </si>
  <si>
    <t xml:space="preserve">CUS063120251209071            </t>
  </si>
  <si>
    <t xml:space="preserve">Krapyak</t>
  </si>
  <si>
    <t xml:space="preserve">1063120250805196</t>
  </si>
  <si>
    <t xml:space="preserve">INAYATI                       </t>
  </si>
  <si>
    <t xml:space="preserve">CUS063120230507578            </t>
  </si>
  <si>
    <t xml:space="preserve">Krengseng</t>
  </si>
  <si>
    <t xml:space="preserve">1063120250805198</t>
  </si>
  <si>
    <t xml:space="preserve">ACHMADI                       </t>
  </si>
  <si>
    <t xml:space="preserve">CUS063120210905358            </t>
  </si>
  <si>
    <t xml:space="preserve">Damarjati</t>
  </si>
  <si>
    <t xml:space="preserve">1063120240804714</t>
  </si>
  <si>
    <t xml:space="preserve">MUCHAMAD AGHUS Z.N            </t>
  </si>
  <si>
    <t xml:space="preserve">CUS063120240808215            </t>
  </si>
  <si>
    <t xml:space="preserve">1063120260305414</t>
  </si>
  <si>
    <t xml:space="preserve">RUKOYAH                       </t>
  </si>
  <si>
    <t xml:space="preserve">CUS063120210605052            </t>
  </si>
  <si>
    <t xml:space="preserve">Bangunsari</t>
  </si>
  <si>
    <t xml:space="preserve">1063120250605095</t>
  </si>
  <si>
    <t xml:space="preserve">MUHAMMAD ARIL FAHREZI         </t>
  </si>
  <si>
    <t xml:space="preserve">CUS063120250608744            </t>
  </si>
  <si>
    <t xml:space="preserve">1063120260805567</t>
  </si>
  <si>
    <t xml:space="preserve">DRA AYU ENTYS WAHYU L E S MM  </t>
  </si>
  <si>
    <t xml:space="preserve">CUS063120260809376            </t>
  </si>
  <si>
    <t xml:space="preserve">Gisikdrono</t>
  </si>
  <si>
    <t xml:space="preserve">1063120260705542</t>
  </si>
  <si>
    <t xml:space="preserve">NORMASARI                     </t>
  </si>
  <si>
    <t xml:space="preserve">CUS063120260709326            </t>
  </si>
  <si>
    <t xml:space="preserve">TITIN GIARSI                  </t>
  </si>
  <si>
    <t xml:space="preserve">CUS063120230107096            </t>
  </si>
  <si>
    <t xml:space="preserve">1063120250605083</t>
  </si>
  <si>
    <t xml:space="preserve">ZAENAL ARIFIN                 </t>
  </si>
  <si>
    <t xml:space="preserve">CUS063120210505020            </t>
  </si>
  <si>
    <t xml:space="preserve">1063120260805586</t>
  </si>
  <si>
    <t xml:space="preserve">MUSTAFIT                      </t>
  </si>
  <si>
    <t xml:space="preserve">CUS063120251009005            </t>
  </si>
  <si>
    <t xml:space="preserve">Tratemulyo</t>
  </si>
  <si>
    <t xml:space="preserve">ACHMAD CHAIRUL ANAM           </t>
  </si>
  <si>
    <t xml:space="preserve">1063120250605097</t>
  </si>
  <si>
    <t xml:space="preserve">FITRIA PUJIASTUTI             </t>
  </si>
  <si>
    <t xml:space="preserve">CUS063120250608746            </t>
  </si>
  <si>
    <t xml:space="preserve">1063120260405438</t>
  </si>
  <si>
    <t xml:space="preserve">LARASATI                      </t>
  </si>
  <si>
    <t xml:space="preserve">CUS063120241108322            </t>
  </si>
  <si>
    <t xml:space="preserve">Mentosari</t>
  </si>
  <si>
    <t xml:space="preserve">1063120260605524</t>
  </si>
  <si>
    <t xml:space="preserve">TRI WAHYU AGUSRI              </t>
  </si>
  <si>
    <t xml:space="preserve">CUS063120260609305            </t>
  </si>
  <si>
    <t xml:space="preserve">Ngabean</t>
  </si>
  <si>
    <t xml:space="preserve">1063120240704666</t>
  </si>
  <si>
    <t xml:space="preserve">RAGIL BAGUS ADITYA            </t>
  </si>
  <si>
    <t xml:space="preserve">CUS056120210807412            </t>
  </si>
  <si>
    <t xml:space="preserve">Duren</t>
  </si>
  <si>
    <t xml:space="preserve">Bejen</t>
  </si>
  <si>
    <t xml:space="preserve">1063120251005262</t>
  </si>
  <si>
    <t xml:space="preserve">SULAKSONO                     </t>
  </si>
  <si>
    <t xml:space="preserve">CUS063120251009000            </t>
  </si>
  <si>
    <t xml:space="preserve">1063120250805200</t>
  </si>
  <si>
    <t xml:space="preserve">1063120251205339</t>
  </si>
  <si>
    <t xml:space="preserve">GALANG ADHI GUNA              </t>
  </si>
  <si>
    <t xml:space="preserve">CUS063120251209090            </t>
  </si>
  <si>
    <t xml:space="preserve">Wates</t>
  </si>
  <si>
    <t xml:space="preserve">1063120260505492</t>
  </si>
  <si>
    <t xml:space="preserve">MAIDAH                        </t>
  </si>
  <si>
    <t xml:space="preserve">CUS063120260509273            </t>
  </si>
  <si>
    <t xml:space="preserve">Kalangsono</t>
  </si>
  <si>
    <t xml:space="preserve">1063120251105285</t>
  </si>
  <si>
    <t xml:space="preserve">SUNARYO                       </t>
  </si>
  <si>
    <t xml:space="preserve">P19002040151                  </t>
  </si>
  <si>
    <t xml:space="preserve">1063120260805593</t>
  </si>
  <si>
    <t xml:space="preserve">AZZI MUKHAMMAD IQBALZIDFI     </t>
  </si>
  <si>
    <t xml:space="preserve">CUS063120260809396            </t>
  </si>
  <si>
    <t xml:space="preserve">1063120240904755</t>
  </si>
  <si>
    <t xml:space="preserve">EDI WIDAYAT                   </t>
  </si>
  <si>
    <t xml:space="preserve">CUS063120240908263            </t>
  </si>
  <si>
    <t xml:space="preserve">1063120240904757</t>
  </si>
  <si>
    <t xml:space="preserve">MALIKI ASHAR                  </t>
  </si>
  <si>
    <t xml:space="preserve">CUS063120240908265            </t>
  </si>
  <si>
    <t xml:space="preserve">Subah</t>
  </si>
  <si>
    <t xml:space="preserve">1063120250905215</t>
  </si>
  <si>
    <t xml:space="preserve">Asikin                        </t>
  </si>
  <si>
    <t xml:space="preserve">CUS063120210605100            </t>
  </si>
  <si>
    <t xml:space="preserve">1063120250905232</t>
  </si>
  <si>
    <t xml:space="preserve">FRANDIKA NOVA PRATAMA PUTRA   </t>
  </si>
  <si>
    <t xml:space="preserve">CUS063120250908971            </t>
  </si>
  <si>
    <t xml:space="preserve">Margomulyo</t>
  </si>
  <si>
    <t xml:space="preserve">INDAH SETYONINGSIH            </t>
  </si>
  <si>
    <t xml:space="preserve">CUS063120220506198            </t>
  </si>
  <si>
    <t xml:space="preserve">1063120260505467</t>
  </si>
  <si>
    <t xml:space="preserve">DIVA KENDRA JANNAH            </t>
  </si>
  <si>
    <t xml:space="preserve">CUS063120260509241            </t>
  </si>
  <si>
    <t xml:space="preserve">Sukomulyo</t>
  </si>
  <si>
    <t xml:space="preserve">1063120241004790</t>
  </si>
  <si>
    <t xml:space="preserve">JOKO HARTONO                  </t>
  </si>
  <si>
    <t xml:space="preserve">CUS063120200103712            </t>
  </si>
  <si>
    <t xml:space="preserve">1063120240904746</t>
  </si>
  <si>
    <t xml:space="preserve">FAHROR ROZI                   </t>
  </si>
  <si>
    <t xml:space="preserve">CUS063120240908251            </t>
  </si>
  <si>
    <t xml:space="preserve">1063120260305418</t>
  </si>
  <si>
    <t xml:space="preserve">EMI HIDAYANI                  </t>
  </si>
  <si>
    <t xml:space="preserve">P19000451748                  </t>
  </si>
  <si>
    <t xml:space="preserve">1063120240904752</t>
  </si>
  <si>
    <t xml:space="preserve">WACHID SETYO WIDODO           </t>
  </si>
  <si>
    <t xml:space="preserve">CUS063120230807708            </t>
  </si>
  <si>
    <t xml:space="preserve">Tirtomulyo</t>
  </si>
  <si>
    <t xml:space="preserve">1063120251005248</t>
  </si>
  <si>
    <t xml:space="preserve">ALI MUSTOFA                   </t>
  </si>
  <si>
    <t xml:space="preserve">P19000251657                  </t>
  </si>
  <si>
    <t xml:space="preserve">1063120251105303</t>
  </si>
  <si>
    <t xml:space="preserve">EKO SUPANGAT                  </t>
  </si>
  <si>
    <t xml:space="preserve">CUS063120201104598            </t>
  </si>
  <si>
    <t xml:space="preserve">Selo</t>
  </si>
  <si>
    <t xml:space="preserve">1063120250905233</t>
  </si>
  <si>
    <t xml:space="preserve">KRISTINA ANDRI ASTUTI,BSC     </t>
  </si>
  <si>
    <t xml:space="preserve">CUS063120250908966            </t>
  </si>
  <si>
    <t xml:space="preserve">Kalibanteng Kulon</t>
  </si>
  <si>
    <t xml:space="preserve">1063120260905606</t>
  </si>
  <si>
    <t xml:space="preserve">SUAHMAD                       </t>
  </si>
  <si>
    <t xml:space="preserve">CUS063120240808205            </t>
  </si>
  <si>
    <t xml:space="preserve">1063120240404542</t>
  </si>
  <si>
    <t xml:space="preserve">PONIDI ALFUADI                </t>
  </si>
  <si>
    <t xml:space="preserve">CUS063120240408014            </t>
  </si>
  <si>
    <t xml:space="preserve">1063120260505477</t>
  </si>
  <si>
    <t xml:space="preserve">Edi purwanto                  </t>
  </si>
  <si>
    <t xml:space="preserve">CUS063120230307363            </t>
  </si>
  <si>
    <t xml:space="preserve">1063120260405458</t>
  </si>
  <si>
    <t xml:space="preserve">MULYONO                       </t>
  </si>
  <si>
    <t xml:space="preserve">P19002061148                  </t>
  </si>
  <si>
    <t xml:space="preserve">Kalibuntu Wetan</t>
  </si>
  <si>
    <t xml:space="preserve">1063120250304977</t>
  </si>
  <si>
    <t xml:space="preserve">AHMAD SODIKIN                 </t>
  </si>
  <si>
    <t xml:space="preserve">CUS063120250308541            </t>
  </si>
  <si>
    <t xml:space="preserve">1063120260205410</t>
  </si>
  <si>
    <t xml:space="preserve">SUALI                         </t>
  </si>
  <si>
    <t xml:space="preserve">CUS063120210304904            </t>
  </si>
  <si>
    <t xml:space="preserve">Jambearum</t>
  </si>
  <si>
    <t xml:space="preserve">1063120250304949</t>
  </si>
  <si>
    <t xml:space="preserve">SRI REJEKI                    </t>
  </si>
  <si>
    <t xml:space="preserve">CUS063120250308480            </t>
  </si>
  <si>
    <t xml:space="preserve">TAWANGSARI</t>
  </si>
  <si>
    <t xml:space="preserve">SEMARANG BARAT</t>
  </si>
  <si>
    <t xml:space="preserve">1063120251205344</t>
  </si>
  <si>
    <t xml:space="preserve">ARISAH                        </t>
  </si>
  <si>
    <t xml:space="preserve">CUS063120251209103            </t>
  </si>
  <si>
    <t xml:space="preserve">Kebonsari</t>
  </si>
  <si>
    <t xml:space="preserve">1063120260805579</t>
  </si>
  <si>
    <t xml:space="preserve">1063120260605522</t>
  </si>
  <si>
    <t xml:space="preserve">1063120190600620</t>
  </si>
  <si>
    <t xml:space="preserve">SITI MUNIROH                  </t>
  </si>
  <si>
    <t xml:space="preserve">P057A002043598                </t>
  </si>
  <si>
    <t xml:space="preserve">Candirejo</t>
  </si>
  <si>
    <t xml:space="preserve">1063120251205350</t>
  </si>
  <si>
    <t xml:space="preserve">AGUS WAHID                    </t>
  </si>
  <si>
    <t xml:space="preserve">CUS063120251209110            </t>
  </si>
  <si>
    <t xml:space="preserve">Bulak</t>
  </si>
  <si>
    <t xml:space="preserve">1063120250605088</t>
  </si>
  <si>
    <t xml:space="preserve">SUGI                          </t>
  </si>
  <si>
    <t xml:space="preserve">CUS063120250608731            </t>
  </si>
  <si>
    <t xml:space="preserve">1063120250705129</t>
  </si>
  <si>
    <t xml:space="preserve">MULYADI                       </t>
  </si>
  <si>
    <t xml:space="preserve">CUS063120250708784            </t>
  </si>
  <si>
    <t xml:space="preserve">1063120250304947</t>
  </si>
  <si>
    <t xml:space="preserve">RIAN DWI CAHYO                </t>
  </si>
  <si>
    <t xml:space="preserve">CUS063120210304910            </t>
  </si>
  <si>
    <t xml:space="preserve">1063120240204466</t>
  </si>
  <si>
    <t xml:space="preserve">ROZIKIN                       </t>
  </si>
  <si>
    <t xml:space="preserve">CUS063120240207949            </t>
  </si>
  <si>
    <t xml:space="preserve">Kutoharjo</t>
  </si>
  <si>
    <t xml:space="preserve">1063120240204475</t>
  </si>
  <si>
    <t xml:space="preserve">AGUS HARIYADI                 </t>
  </si>
  <si>
    <t xml:space="preserve">CUS063120240207955            </t>
  </si>
  <si>
    <t xml:space="preserve">1063120260605507</t>
  </si>
  <si>
    <t xml:space="preserve">TRIANGGA KURNIAWAN            </t>
  </si>
  <si>
    <t xml:space="preserve">CUS063120250908927            </t>
  </si>
  <si>
    <t xml:space="preserve">Kalices</t>
  </si>
  <si>
    <t xml:space="preserve">1063120260305424</t>
  </si>
  <si>
    <t xml:space="preserve">AKHMAD ZAINUDDIN              </t>
  </si>
  <si>
    <t xml:space="preserve">CUS063120230207204            </t>
  </si>
  <si>
    <t xml:space="preserve">1063120250705145</t>
  </si>
  <si>
    <t xml:space="preserve">CUS063120250708821            </t>
  </si>
  <si>
    <t xml:space="preserve">1063120250605090</t>
  </si>
  <si>
    <t xml:space="preserve">SLAMET EDI SUCIPTO            </t>
  </si>
  <si>
    <t xml:space="preserve">CUS063120250608739            </t>
  </si>
  <si>
    <t xml:space="preserve">SUGENG LISTIAWAN              </t>
  </si>
  <si>
    <t xml:space="preserve">1063120251205331</t>
  </si>
  <si>
    <t xml:space="preserve">AHMAD RIDHO                   </t>
  </si>
  <si>
    <t xml:space="preserve">P19002027154                  </t>
  </si>
  <si>
    <t xml:space="preserve">Jenarsari</t>
  </si>
  <si>
    <t xml:space="preserve">1063120250905238</t>
  </si>
  <si>
    <t xml:space="preserve">SITI MAEMUNAH                 </t>
  </si>
  <si>
    <t xml:space="preserve">CUS063120250908979            </t>
  </si>
  <si>
    <t xml:space="preserve">Krobokan</t>
  </si>
  <si>
    <t xml:space="preserve">Sumarno                       </t>
  </si>
  <si>
    <t xml:space="preserve">CUS063120220406171            </t>
  </si>
  <si>
    <t xml:space="preserve">1063120260305421</t>
  </si>
  <si>
    <t xml:space="preserve">SUPARTIN                      </t>
  </si>
  <si>
    <t xml:space="preserve">P19000657235                  </t>
  </si>
  <si>
    <t xml:space="preserve">1063120260305430</t>
  </si>
  <si>
    <t xml:space="preserve">SITI INWANA                   </t>
  </si>
  <si>
    <t xml:space="preserve">1063120221203706</t>
  </si>
  <si>
    <t xml:space="preserve">ruwiyah                       </t>
  </si>
  <si>
    <t xml:space="preserve">CUS063120221206895            </t>
  </si>
  <si>
    <t xml:space="preserve">Wirosari</t>
  </si>
  <si>
    <t xml:space="preserve">1063120260305419</t>
  </si>
  <si>
    <t xml:space="preserve">NANANG HUSNI FARUK            </t>
  </si>
  <si>
    <t xml:space="preserve">P088A002034838                </t>
  </si>
  <si>
    <t xml:space="preserve">Bugangin</t>
  </si>
  <si>
    <t xml:space="preserve">1063120240304487</t>
  </si>
  <si>
    <t xml:space="preserve">ISMUN                         </t>
  </si>
  <si>
    <t xml:space="preserve">CUS063120240307964            </t>
  </si>
  <si>
    <t xml:space="preserve">1063120231104367</t>
  </si>
  <si>
    <t xml:space="preserve">MARKAMAH                      </t>
  </si>
  <si>
    <t xml:space="preserve">CUS063120231107840            </t>
  </si>
  <si>
    <t xml:space="preserve">1063120260105379</t>
  </si>
  <si>
    <t xml:space="preserve">FIKRI ARDIYANTO               </t>
  </si>
  <si>
    <t xml:space="preserve">CUS063120260109140            </t>
  </si>
  <si>
    <t xml:space="preserve">Sumbersari</t>
  </si>
  <si>
    <t xml:space="preserve">1063120250705110</t>
  </si>
  <si>
    <t xml:space="preserve">SULISTIONO                    </t>
  </si>
  <si>
    <t xml:space="preserve">CUS063120250708772            </t>
  </si>
  <si>
    <t xml:space="preserve">WITAKU ROHMAN                 </t>
  </si>
  <si>
    <t xml:space="preserve">063A7513000170                </t>
  </si>
  <si>
    <t xml:space="preserve">1063120260705558</t>
  </si>
  <si>
    <t xml:space="preserve">ISTIGHSLA FADL LAN FADLILAH   </t>
  </si>
  <si>
    <t xml:space="preserve">CUS063120260709344            </t>
  </si>
  <si>
    <t xml:space="preserve">1063120260205407</t>
  </si>
  <si>
    <t xml:space="preserve">NUR IHWANTO                   </t>
  </si>
  <si>
    <t xml:space="preserve">P258000002826                 </t>
  </si>
  <si>
    <t xml:space="preserve">1063120250505026</t>
  </si>
  <si>
    <t xml:space="preserve">YENI LESTARI                  </t>
  </si>
  <si>
    <t xml:space="preserve">CUS063120250508624            </t>
  </si>
  <si>
    <t xml:space="preserve">Tambak Harjo</t>
  </si>
  <si>
    <t xml:space="preserve">1063120260905608</t>
  </si>
  <si>
    <t xml:space="preserve">MUH PUJI NUR HIDAYAT          </t>
  </si>
  <si>
    <t xml:space="preserve">CUS061120191103668            </t>
  </si>
  <si>
    <t xml:space="preserve">1063120251205337</t>
  </si>
  <si>
    <t xml:space="preserve">Kitri sulastri                </t>
  </si>
  <si>
    <t xml:space="preserve">CUS063120230207279            </t>
  </si>
  <si>
    <t xml:space="preserve">1063120251205338</t>
  </si>
  <si>
    <t xml:space="preserve">ARIEL WIBISONO EKO KARYO      </t>
  </si>
  <si>
    <t xml:space="preserve">CUS063120251109027            </t>
  </si>
  <si>
    <t xml:space="preserve">1063120240804684</t>
  </si>
  <si>
    <t xml:space="preserve">AGUS HARYONO                  </t>
  </si>
  <si>
    <t xml:space="preserve">CUS063120240808172            </t>
  </si>
  <si>
    <t xml:space="preserve">Wungurejo</t>
  </si>
  <si>
    <t xml:space="preserve">1063120260605520</t>
  </si>
  <si>
    <t xml:space="preserve">PURNOMO                       </t>
  </si>
  <si>
    <t xml:space="preserve">CUS063120230607641            </t>
  </si>
  <si>
    <t xml:space="preserve">1063120230904272</t>
  </si>
  <si>
    <t xml:space="preserve">HENGKY SUSANTO                </t>
  </si>
  <si>
    <t xml:space="preserve">CUS061120220408872            </t>
  </si>
  <si>
    <t xml:space="preserve">1063120230904273</t>
  </si>
  <si>
    <t xml:space="preserve">1063120240604608</t>
  </si>
  <si>
    <t xml:space="preserve">RINI HANDAYANI                </t>
  </si>
  <si>
    <t xml:space="preserve">P19000245324                  </t>
  </si>
  <si>
    <t xml:space="preserve">1063120250405000</t>
  </si>
  <si>
    <t xml:space="preserve">SAKURI                        </t>
  </si>
  <si>
    <t xml:space="preserve">CUS063120190902350            </t>
  </si>
  <si>
    <t xml:space="preserve">Pidodo Wetan (Widodo Wetan)</t>
  </si>
  <si>
    <t xml:space="preserve">1063120251005249</t>
  </si>
  <si>
    <t xml:space="preserve">CUS063120190802025            </t>
  </si>
  <si>
    <t xml:space="preserve">Putatgede</t>
  </si>
  <si>
    <t xml:space="preserve">1063120260505497</t>
  </si>
  <si>
    <t xml:space="preserve">HIREKO ARI BOWO               </t>
  </si>
  <si>
    <t xml:space="preserve">P191000098546                 </t>
  </si>
  <si>
    <t xml:space="preserve">Bringin</t>
  </si>
  <si>
    <t xml:space="preserve">1063120250605080</t>
  </si>
  <si>
    <t xml:space="preserve">KHURYATUL AINI                </t>
  </si>
  <si>
    <t xml:space="preserve">CUS063120250608725            </t>
  </si>
  <si>
    <t xml:space="preserve">1063120251205345</t>
  </si>
  <si>
    <t xml:space="preserve">RAHMAT WIDODO                 </t>
  </si>
  <si>
    <t xml:space="preserve">CUS063120241108379            </t>
  </si>
  <si>
    <t xml:space="preserve">1063120260405455</t>
  </si>
  <si>
    <t xml:space="preserve">DIAN GITA SAFITRI             </t>
  </si>
  <si>
    <t xml:space="preserve">CUS063120260409226            </t>
  </si>
  <si>
    <t xml:space="preserve">1063120260905603</t>
  </si>
  <si>
    <t xml:space="preserve">SUGIYANTO                     </t>
  </si>
  <si>
    <t xml:space="preserve">CUS063120210805259            </t>
  </si>
  <si>
    <t xml:space="preserve">Tanjungmojo</t>
  </si>
  <si>
    <t xml:space="preserve">SRI WIDANINGSIH               </t>
  </si>
  <si>
    <t xml:space="preserve">CUS589120190700267            </t>
  </si>
  <si>
    <t xml:space="preserve">1063120260505500</t>
  </si>
  <si>
    <t xml:space="preserve">ABDUL KUSNI                   </t>
  </si>
  <si>
    <t xml:space="preserve">P19002032391                  </t>
  </si>
  <si>
    <t xml:space="preserve">1063120231104358</t>
  </si>
  <si>
    <t xml:space="preserve">SUNHAJI                       </t>
  </si>
  <si>
    <t xml:space="preserve">P19002005245                  </t>
  </si>
  <si>
    <t xml:space="preserve">1063120221103560</t>
  </si>
  <si>
    <t xml:space="preserve">Fajar aji saputro             </t>
  </si>
  <si>
    <t xml:space="preserve">CUS063120221106727            </t>
  </si>
  <si>
    <t xml:space="preserve">1063120260405443</t>
  </si>
  <si>
    <t xml:space="preserve">IMAM SUSANTO                  </t>
  </si>
  <si>
    <t xml:space="preserve">CUS063120200103874            </t>
  </si>
  <si>
    <t xml:space="preserve">1063120250905216</t>
  </si>
  <si>
    <t xml:space="preserve">MAHFUD SAIFUDIN               </t>
  </si>
  <si>
    <t xml:space="preserve">CUS063120230407452            </t>
  </si>
  <si>
    <t xml:space="preserve">1063120250905243</t>
  </si>
  <si>
    <t xml:space="preserve">ENI SUWITRI                   </t>
  </si>
  <si>
    <t xml:space="preserve">P057A002026352                </t>
  </si>
  <si>
    <t xml:space="preserve">1063120260205389</t>
  </si>
  <si>
    <t xml:space="preserve">MUHTAROM                      </t>
  </si>
  <si>
    <t xml:space="preserve">CUS063120250308497            </t>
  </si>
  <si>
    <t xml:space="preserve">1063120250404984</t>
  </si>
  <si>
    <t xml:space="preserve">ROCHANI                       </t>
  </si>
  <si>
    <t xml:space="preserve">CUS063120220205926            </t>
  </si>
  <si>
    <t xml:space="preserve">Manggungsari</t>
  </si>
  <si>
    <t xml:space="preserve">1063120251105289</t>
  </si>
  <si>
    <t xml:space="preserve">TUGIYONO                      </t>
  </si>
  <si>
    <t xml:space="preserve">P057A002034790                </t>
  </si>
  <si>
    <t xml:space="preserve">Dlisen</t>
  </si>
  <si>
    <t xml:space="preserve">Limpung</t>
  </si>
  <si>
    <t xml:space="preserve">1063120251105287</t>
  </si>
  <si>
    <t xml:space="preserve">LEWI SULISTYAWATI             </t>
  </si>
  <si>
    <t xml:space="preserve">CUS063120251109024            </t>
  </si>
  <si>
    <t xml:space="preserve">1063120250605082</t>
  </si>
  <si>
    <t xml:space="preserve">ZAMRONI                       </t>
  </si>
  <si>
    <t xml:space="preserve">CUS063120250608722            </t>
  </si>
  <si>
    <t xml:space="preserve">Padomasan</t>
  </si>
  <si>
    <t xml:space="preserve">1063120260105359</t>
  </si>
  <si>
    <t xml:space="preserve">NIDIA OLATA                   </t>
  </si>
  <si>
    <t xml:space="preserve">CUS063120260109121            </t>
  </si>
  <si>
    <t xml:space="preserve">1063120251005275</t>
  </si>
  <si>
    <t xml:space="preserve">1063120260805591</t>
  </si>
  <si>
    <t xml:space="preserve">1063120260605519</t>
  </si>
  <si>
    <t xml:space="preserve">ZAENUDIN                      </t>
  </si>
  <si>
    <t xml:space="preserve">CUS063120250308510            </t>
  </si>
  <si>
    <t xml:space="preserve">Turunrejo</t>
  </si>
  <si>
    <t xml:space="preserve">1063120250304973</t>
  </si>
  <si>
    <t xml:space="preserve">LUSIANA                       </t>
  </si>
  <si>
    <t xml:space="preserve">CUS063120250308534            </t>
  </si>
  <si>
    <t xml:space="preserve">SUDIRO                        </t>
  </si>
  <si>
    <t xml:space="preserve">1063120250705118</t>
  </si>
  <si>
    <t xml:space="preserve">FAIZATUL JANNAH               </t>
  </si>
  <si>
    <t xml:space="preserve">CUS063120250708801            </t>
  </si>
  <si>
    <t xml:space="preserve">1063120250304963</t>
  </si>
  <si>
    <t xml:space="preserve">JONI                          </t>
  </si>
  <si>
    <t xml:space="preserve">CUS063120190300213            </t>
  </si>
  <si>
    <t xml:space="preserve">1063120260105361</t>
  </si>
  <si>
    <t xml:space="preserve">BUDIYONO                      </t>
  </si>
  <si>
    <t xml:space="preserve">CUS063120260109118            </t>
  </si>
  <si>
    <t xml:space="preserve">Wonotenggang</t>
  </si>
  <si>
    <t xml:space="preserve">1063120250505053</t>
  </si>
  <si>
    <t xml:space="preserve">NUR KHOLIS. M                 </t>
  </si>
  <si>
    <t xml:space="preserve">CUS063120250508669            </t>
  </si>
  <si>
    <t xml:space="preserve">Sumur</t>
  </si>
  <si>
    <t xml:space="preserve">BUDI UTOMO                    </t>
  </si>
  <si>
    <t xml:space="preserve">1063120240604619</t>
  </si>
  <si>
    <t xml:space="preserve">1063120251105280</t>
  </si>
  <si>
    <t xml:space="preserve">TRI WAHONO                    </t>
  </si>
  <si>
    <t xml:space="preserve">CUS063120251109019            </t>
  </si>
  <si>
    <t xml:space="preserve">Purwodinatan</t>
  </si>
  <si>
    <t xml:space="preserve">Semarang Tengah</t>
  </si>
  <si>
    <t xml:space="preserve">1063120260805570</t>
  </si>
  <si>
    <t xml:space="preserve">NURHAYATI                     </t>
  </si>
  <si>
    <t xml:space="preserve">1063120251005267</t>
  </si>
  <si>
    <t xml:space="preserve">Sodiq eko ardiyanto           </t>
  </si>
  <si>
    <t xml:space="preserve">CUS063120230507534            </t>
  </si>
  <si>
    <t xml:space="preserve">1063120250905209</t>
  </si>
  <si>
    <t xml:space="preserve">TRI BUDIARTO                  </t>
  </si>
  <si>
    <t xml:space="preserve">CUS063120210104742            </t>
  </si>
  <si>
    <t xml:space="preserve">1063120260105377</t>
  </si>
  <si>
    <t xml:space="preserve">KUSWANTO                      </t>
  </si>
  <si>
    <t xml:space="preserve">P19002033332                  </t>
  </si>
  <si>
    <t xml:space="preserve">1063120260405451</t>
  </si>
  <si>
    <t xml:space="preserve">TRI NUR SETIARSO              </t>
  </si>
  <si>
    <t xml:space="preserve">CUS063120260409228            </t>
  </si>
  <si>
    <t xml:space="preserve">Bongsari</t>
  </si>
  <si>
    <t xml:space="preserve">1063120250705109</t>
  </si>
  <si>
    <t xml:space="preserve">SELA CAHYA MAHARDIKA          </t>
  </si>
  <si>
    <t xml:space="preserve">CUS063120250708774            </t>
  </si>
  <si>
    <t xml:space="preserve">1063120250705123</t>
  </si>
  <si>
    <t xml:space="preserve">1063120250705127</t>
  </si>
  <si>
    <t xml:space="preserve">INDRA NURDIANTO               </t>
  </si>
  <si>
    <t xml:space="preserve">P19002062648                  </t>
  </si>
  <si>
    <t xml:space="preserve">1063120251005266</t>
  </si>
  <si>
    <t xml:space="preserve">ROMDHON                       </t>
  </si>
  <si>
    <t xml:space="preserve">CUS063120251009003            </t>
  </si>
  <si>
    <t xml:space="preserve">Karangmanggis</t>
  </si>
  <si>
    <t xml:space="preserve">1063120250805182</t>
  </si>
  <si>
    <t xml:space="preserve">OKTAVIA                       </t>
  </si>
  <si>
    <t xml:space="preserve">CUS063120250808866            </t>
  </si>
  <si>
    <t xml:space="preserve">1063120250304965</t>
  </si>
  <si>
    <t xml:space="preserve">PRIO BUDI UTOMO               </t>
  </si>
  <si>
    <t xml:space="preserve">CUS063120230307338            </t>
  </si>
  <si>
    <t xml:space="preserve">1063120250705100</t>
  </si>
  <si>
    <t xml:space="preserve">FAJAR PRASETYO                </t>
  </si>
  <si>
    <t xml:space="preserve">CUS063120250708760            </t>
  </si>
  <si>
    <t xml:space="preserve">1063120260105376</t>
  </si>
  <si>
    <t xml:space="preserve">ABDUL AZIS                    </t>
  </si>
  <si>
    <t xml:space="preserve">CUS063120260109138            </t>
  </si>
  <si>
    <t xml:space="preserve">1063120251005276</t>
  </si>
  <si>
    <t xml:space="preserve">ARIYANTO WIBOWO               </t>
  </si>
  <si>
    <t xml:space="preserve">CUS063120251009015            </t>
  </si>
  <si>
    <t xml:space="preserve">1063120250605066</t>
  </si>
  <si>
    <t xml:space="preserve">NURHIDAYATI                   </t>
  </si>
  <si>
    <t xml:space="preserve">P19002054151                  </t>
  </si>
  <si>
    <t xml:space="preserve">1063120250905211</t>
  </si>
  <si>
    <t xml:space="preserve">MUH MUSLIKUN                  </t>
  </si>
  <si>
    <t xml:space="preserve">P19002045441                  </t>
  </si>
  <si>
    <t xml:space="preserve">Winong</t>
  </si>
  <si>
    <t xml:space="preserve">1063120250805201</t>
  </si>
  <si>
    <t xml:space="preserve">NOFI MUYASAROH                </t>
  </si>
  <si>
    <t xml:space="preserve">P19002062563                  </t>
  </si>
  <si>
    <t xml:space="preserve">1063120260805578</t>
  </si>
  <si>
    <t xml:space="preserve">KUMAIDI                       </t>
  </si>
  <si>
    <t xml:space="preserve">P19002002841                  </t>
  </si>
  <si>
    <t xml:space="preserve">Satoto                        </t>
  </si>
  <si>
    <t xml:space="preserve">CUS063120211005523            </t>
  </si>
  <si>
    <t xml:space="preserve">1063120250104892</t>
  </si>
  <si>
    <t xml:space="preserve">Ulfatun nafiah                </t>
  </si>
  <si>
    <t xml:space="preserve">CUS063120230307417            </t>
  </si>
  <si>
    <t xml:space="preserve">1063120240904748</t>
  </si>
  <si>
    <t xml:space="preserve">MURODIN                       </t>
  </si>
  <si>
    <t xml:space="preserve">CUS063120240908255            </t>
  </si>
  <si>
    <t xml:space="preserve">Kedungasri</t>
  </si>
  <si>
    <t xml:space="preserve">1063120260105353</t>
  </si>
  <si>
    <t xml:space="preserve">1063120241204857</t>
  </si>
  <si>
    <t xml:space="preserve">Sriyati                       </t>
  </si>
  <si>
    <t xml:space="preserve">CUS063120221206906            </t>
  </si>
  <si>
    <t xml:space="preserve">1063120260605515</t>
  </si>
  <si>
    <t xml:space="preserve">EKO SANTOSO                   </t>
  </si>
  <si>
    <t xml:space="preserve">CUS063120260609302            </t>
  </si>
  <si>
    <t xml:space="preserve">Wonodadi</t>
  </si>
  <si>
    <t xml:space="preserve">SLAMET.S                      </t>
  </si>
  <si>
    <t xml:space="preserve">1063120250304955</t>
  </si>
  <si>
    <t xml:space="preserve">MISRO                         </t>
  </si>
  <si>
    <t xml:space="preserve">CUS063120250308503            </t>
  </si>
  <si>
    <t xml:space="preserve">1063120250905237</t>
  </si>
  <si>
    <t xml:space="preserve">EDI SUPARNO                   </t>
  </si>
  <si>
    <t xml:space="preserve">CUS063120250908976            </t>
  </si>
  <si>
    <t xml:space="preserve">Kalisalak</t>
  </si>
  <si>
    <t xml:space="preserve">1063120260305433</t>
  </si>
  <si>
    <t xml:space="preserve">ANGGI PRIBADI                 </t>
  </si>
  <si>
    <t xml:space="preserve">CUS063120260309200            </t>
  </si>
  <si>
    <t xml:space="preserve">1063120260605530</t>
  </si>
  <si>
    <t xml:space="preserve">YULIARTI SRI RAHARTI          </t>
  </si>
  <si>
    <t xml:space="preserve">CUS063120251109056            </t>
  </si>
  <si>
    <t xml:space="preserve">1063120260605534</t>
  </si>
  <si>
    <t xml:space="preserve">NANANG SETYAWAN               </t>
  </si>
  <si>
    <t xml:space="preserve">CUS063120260609317            </t>
  </si>
  <si>
    <t xml:space="preserve">Pakintelan</t>
  </si>
  <si>
    <t xml:space="preserve">Gunungpati</t>
  </si>
  <si>
    <t xml:space="preserve">1063120250605081</t>
  </si>
  <si>
    <t xml:space="preserve">MUHAMMAD RIZAL ILHAM PRASETYO </t>
  </si>
  <si>
    <t xml:space="preserve">CUS063120240408021            </t>
  </si>
  <si>
    <t xml:space="preserve">1063120240704662</t>
  </si>
  <si>
    <t xml:space="preserve">HARIONO                       </t>
  </si>
  <si>
    <t xml:space="preserve">CUS063120240708146            </t>
  </si>
  <si>
    <t xml:space="preserve">1063120260505483</t>
  </si>
  <si>
    <t xml:space="preserve">LUSIANI KUSUMA NINGRUM        </t>
  </si>
  <si>
    <t xml:space="preserve">CUS063120260509269            </t>
  </si>
  <si>
    <t xml:space="preserve">1063120250705120</t>
  </si>
  <si>
    <t xml:space="preserve">MUSTAFIDAH                    </t>
  </si>
  <si>
    <t xml:space="preserve">CUS063120210805207            </t>
  </si>
  <si>
    <t xml:space="preserve">1063120260205388</t>
  </si>
  <si>
    <t xml:space="preserve">SUDARSO                       </t>
  </si>
  <si>
    <t xml:space="preserve">P19002053689                  </t>
  </si>
  <si>
    <t xml:space="preserve">1063120240804711</t>
  </si>
  <si>
    <t xml:space="preserve">LIA MUNASIROH                 </t>
  </si>
  <si>
    <t xml:space="preserve">CUS063120240808213            </t>
  </si>
  <si>
    <t xml:space="preserve">Ngerjo</t>
  </si>
  <si>
    <t xml:space="preserve">1063120250104887</t>
  </si>
  <si>
    <t xml:space="preserve">HELGA FAWWAS RIZKI            </t>
  </si>
  <si>
    <t xml:space="preserve">CUS063120250108412            </t>
  </si>
  <si>
    <t xml:space="preserve">Tegorejo</t>
  </si>
  <si>
    <t xml:space="preserve">1063120251105314</t>
  </si>
  <si>
    <t xml:space="preserve">ROSIDIN                       </t>
  </si>
  <si>
    <t xml:space="preserve">CUS063120251109059            </t>
  </si>
  <si>
    <t xml:space="preserve">1063120250605062</t>
  </si>
  <si>
    <t xml:space="preserve">SUMONO                        </t>
  </si>
  <si>
    <t xml:space="preserve">P19002064290                  </t>
  </si>
  <si>
    <t xml:space="preserve">1063120250204920</t>
  </si>
  <si>
    <t xml:space="preserve">SOPI I                        </t>
  </si>
  <si>
    <t xml:space="preserve">CUS063120250208444            </t>
  </si>
  <si>
    <t xml:space="preserve">1063120260505496</t>
  </si>
  <si>
    <t xml:space="preserve">ANDRIAN ADI SANTOSO           </t>
  </si>
  <si>
    <t xml:space="preserve">CUS063120260509275            </t>
  </si>
  <si>
    <t xml:space="preserve">1063120260205404</t>
  </si>
  <si>
    <t xml:space="preserve">SOFIYATUN NISAK               </t>
  </si>
  <si>
    <t xml:space="preserve">CUS063120260209168            </t>
  </si>
  <si>
    <t xml:space="preserve">Sembung</t>
  </si>
  <si>
    <t xml:space="preserve">1063120250805160</t>
  </si>
  <si>
    <t xml:space="preserve">ADI SULARSO                   </t>
  </si>
  <si>
    <t xml:space="preserve">CUS063120250808846            </t>
  </si>
  <si>
    <t xml:space="preserve">Sumberagung</t>
  </si>
  <si>
    <t xml:space="preserve">1063120260605517</t>
  </si>
  <si>
    <t xml:space="preserve">TRISMINAH                     </t>
  </si>
  <si>
    <t xml:space="preserve">CUS063120250808876            </t>
  </si>
  <si>
    <t xml:space="preserve">1063120260805581</t>
  </si>
  <si>
    <t xml:space="preserve">RUBIYEM                       </t>
  </si>
  <si>
    <t xml:space="preserve">CUS063120260809386            </t>
  </si>
  <si>
    <t xml:space="preserve">Mulyosari</t>
  </si>
  <si>
    <t xml:space="preserve">1063120240604622</t>
  </si>
  <si>
    <t xml:space="preserve">BEJO PAWIT                    </t>
  </si>
  <si>
    <t xml:space="preserve">P19002046945                  </t>
  </si>
  <si>
    <t xml:space="preserve">Peron</t>
  </si>
  <si>
    <t xml:space="preserve">AHMAD SHONHAJI                </t>
  </si>
  <si>
    <t xml:space="preserve">P19002048783                  </t>
  </si>
  <si>
    <t xml:space="preserve">1063120260505484</t>
  </si>
  <si>
    <t xml:space="preserve">CUS063120260509263            </t>
  </si>
  <si>
    <t xml:space="preserve">Gebang</t>
  </si>
  <si>
    <t xml:space="preserve">1063120251205349</t>
  </si>
  <si>
    <t xml:space="preserve">ALDI CANDRA WIJAYA,ST         </t>
  </si>
  <si>
    <t xml:space="preserve">CUS063120251209112            </t>
  </si>
  <si>
    <t xml:space="preserve">Siwalan</t>
  </si>
  <si>
    <t xml:space="preserve">1063120260605504</t>
  </si>
  <si>
    <t xml:space="preserve">1063120250605087</t>
  </si>
  <si>
    <t xml:space="preserve">NYOTO SUSILO                  </t>
  </si>
  <si>
    <t xml:space="preserve">CUS063120250608732            </t>
  </si>
  <si>
    <t xml:space="preserve">Wonorejo</t>
  </si>
  <si>
    <t xml:space="preserve">1063120260105363</t>
  </si>
  <si>
    <t xml:space="preserve">GLEND OCTANADHY PURNOMO       </t>
  </si>
  <si>
    <t xml:space="preserve">CUS063120250908965            </t>
  </si>
  <si>
    <t xml:space="preserve">Kembangsari</t>
  </si>
  <si>
    <t xml:space="preserve">1063120251105284</t>
  </si>
  <si>
    <t xml:space="preserve">RIFAIZIN                      </t>
  </si>
  <si>
    <t xml:space="preserve">CUS063120251109021            </t>
  </si>
  <si>
    <t xml:space="preserve">1063120251205335</t>
  </si>
  <si>
    <t xml:space="preserve">EKO SETIYAWAN                 </t>
  </si>
  <si>
    <t xml:space="preserve">CUS063120251209098            </t>
  </si>
  <si>
    <t xml:space="preserve">1063120240904729</t>
  </si>
  <si>
    <t xml:space="preserve">TUTUR LESTARI                 </t>
  </si>
  <si>
    <t xml:space="preserve">CUS063120240908232            </t>
  </si>
  <si>
    <t xml:space="preserve">1063120260805577</t>
  </si>
  <si>
    <t xml:space="preserve">NYAMADI WAHYU KURNIAWAN       </t>
  </si>
  <si>
    <t xml:space="preserve">CUS063120251008995            </t>
  </si>
  <si>
    <t xml:space="preserve">Metesih</t>
  </si>
  <si>
    <t xml:space="preserve">1063120251005278</t>
  </si>
  <si>
    <t xml:space="preserve">HENI PURNAMININGSIH           </t>
  </si>
  <si>
    <t xml:space="preserve">CUS063120251009013            </t>
  </si>
  <si>
    <t xml:space="preserve">Wonolopo</t>
  </si>
  <si>
    <t xml:space="preserve">Mijen</t>
  </si>
  <si>
    <t xml:space="preserve">1063120260305429</t>
  </si>
  <si>
    <t xml:space="preserve">1063120251005279</t>
  </si>
  <si>
    <t xml:space="preserve">YULIANTO ADI NUGROHO          </t>
  </si>
  <si>
    <t xml:space="preserve">CUS063120251009009            </t>
  </si>
  <si>
    <t xml:space="preserve">Pegulon</t>
  </si>
  <si>
    <t xml:space="preserve">1063120241204873</t>
  </si>
  <si>
    <t xml:space="preserve">AHMAT MUSLIKIN                </t>
  </si>
  <si>
    <t xml:space="preserve">CUS063120221006620            </t>
  </si>
  <si>
    <t xml:space="preserve">Sendang Sikucing</t>
  </si>
  <si>
    <t xml:space="preserve">1063120260405460</t>
  </si>
  <si>
    <t xml:space="preserve">FATHUR ROHMAN                 </t>
  </si>
  <si>
    <t xml:space="preserve">CUS063120260409235            </t>
  </si>
  <si>
    <t xml:space="preserve">1063120251005265</t>
  </si>
  <si>
    <t xml:space="preserve">ASIP AWALUDIN                 </t>
  </si>
  <si>
    <t xml:space="preserve">CUS057120230509954            </t>
  </si>
  <si>
    <t xml:space="preserve">Satriyan</t>
  </si>
  <si>
    <t xml:space="preserve">1063120250705142</t>
  </si>
  <si>
    <t xml:space="preserve">SUROSO                        </t>
  </si>
  <si>
    <t xml:space="preserve">CUS063120241108327            </t>
  </si>
  <si>
    <t xml:space="preserve">1063120260505486</t>
  </si>
  <si>
    <t xml:space="preserve">MUHAMMAD LUTFI HAKIM          </t>
  </si>
  <si>
    <t xml:space="preserve">1063120250605057</t>
  </si>
  <si>
    <t xml:space="preserve">TEGUH SANTOSO                 </t>
  </si>
  <si>
    <t xml:space="preserve">CUS063120250608693            </t>
  </si>
  <si>
    <t xml:space="preserve">Pesawahan</t>
  </si>
  <si>
    <t xml:space="preserve">1063120260605535</t>
  </si>
  <si>
    <t xml:space="preserve">DESWITHA PUTERI WIDHIYASARI   </t>
  </si>
  <si>
    <t xml:space="preserve">CUS063120260609319            </t>
  </si>
  <si>
    <t xml:space="preserve">Trimulyo</t>
  </si>
  <si>
    <t xml:space="preserve">1063120260405442</t>
  </si>
  <si>
    <t xml:space="preserve">FITRIYANTO BAYU IRAWAN        </t>
  </si>
  <si>
    <t xml:space="preserve">CUS063120260409207            </t>
  </si>
  <si>
    <t xml:space="preserve">1063120240704670</t>
  </si>
  <si>
    <t xml:space="preserve">HENI SURYANINGSIH             </t>
  </si>
  <si>
    <t xml:space="preserve">CUS063120240708151            </t>
  </si>
  <si>
    <t xml:space="preserve">Siguci</t>
  </si>
  <si>
    <t xml:space="preserve">Pecalungan</t>
  </si>
  <si>
    <t xml:space="preserve">1063120251205346</t>
  </si>
  <si>
    <t xml:space="preserve">AJAT SUDRAJAT                 </t>
  </si>
  <si>
    <t xml:space="preserve">P238000009845                 </t>
  </si>
  <si>
    <t xml:space="preserve">1063120250304968</t>
  </si>
  <si>
    <t xml:space="preserve">SUTOYO                        </t>
  </si>
  <si>
    <t xml:space="preserve">P19002064395                  </t>
  </si>
  <si>
    <t xml:space="preserve">Tosari</t>
  </si>
  <si>
    <t xml:space="preserve">1063120240404530</t>
  </si>
  <si>
    <t xml:space="preserve">NURYANTO                      </t>
  </si>
  <si>
    <t xml:space="preserve">P19002057187                  </t>
  </si>
  <si>
    <t xml:space="preserve">1063120251205326</t>
  </si>
  <si>
    <t xml:space="preserve">YAMINAH                       </t>
  </si>
  <si>
    <t xml:space="preserve">CUS063120251209076            </t>
  </si>
  <si>
    <t xml:space="preserve">Jotang</t>
  </si>
  <si>
    <t xml:space="preserve">EKO SETIAWAN                  </t>
  </si>
  <si>
    <t xml:space="preserve">RASWI                         </t>
  </si>
  <si>
    <t xml:space="preserve">1063120241104831</t>
  </si>
  <si>
    <t xml:space="preserve">TEGUH HARIYANTO               </t>
  </si>
  <si>
    <t xml:space="preserve">P19002015381                  </t>
  </si>
  <si>
    <t xml:space="preserve">1063120251205334</t>
  </si>
  <si>
    <t xml:space="preserve">TUTI                          </t>
  </si>
  <si>
    <t xml:space="preserve">CUS063120251209096            </t>
  </si>
  <si>
    <t xml:space="preserve">Pungangan</t>
  </si>
  <si>
    <t xml:space="preserve">1063120260205397</t>
  </si>
  <si>
    <t xml:space="preserve">SOIM                          </t>
  </si>
  <si>
    <t xml:space="preserve">P19002044034                  </t>
  </si>
  <si>
    <t xml:space="preserve">1063120250104879</t>
  </si>
  <si>
    <t xml:space="preserve">AJI SANTOSO                   </t>
  </si>
  <si>
    <t xml:space="preserve">CUS063120190601341            </t>
  </si>
  <si>
    <t xml:space="preserve">Bringinsari</t>
  </si>
  <si>
    <t xml:space="preserve">1063120260505474</t>
  </si>
  <si>
    <t xml:space="preserve">KUBRO SATRIO                  </t>
  </si>
  <si>
    <t xml:space="preserve">CUS063120230507581            </t>
  </si>
  <si>
    <t xml:space="preserve">1063120250204924</t>
  </si>
  <si>
    <t xml:space="preserve">M SAYIDIN                     </t>
  </si>
  <si>
    <t xml:space="preserve">CUS039120211219178            </t>
  </si>
  <si>
    <t xml:space="preserve">1063120251205317</t>
  </si>
  <si>
    <t xml:space="preserve">KIKY FADHILATUL JANNAH        </t>
  </si>
  <si>
    <t xml:space="preserve">CUS589120200100498            </t>
  </si>
  <si>
    <t xml:space="preserve">1063120250705107</t>
  </si>
  <si>
    <t xml:space="preserve">MAULIDA TRI WIJAYANTI         </t>
  </si>
  <si>
    <t xml:space="preserve">CUS063120250708768            </t>
  </si>
  <si>
    <t xml:space="preserve">1063120250805164</t>
  </si>
  <si>
    <t xml:space="preserve">ABDUL TOHIR                   </t>
  </si>
  <si>
    <t xml:space="preserve">P19002038824                  </t>
  </si>
  <si>
    <t xml:space="preserve">Mangunsari</t>
  </si>
  <si>
    <t xml:space="preserve">Eli Finafatul Munawaroh       </t>
  </si>
  <si>
    <t xml:space="preserve">CUS063120220406100            </t>
  </si>
  <si>
    <t xml:space="preserve">1063120250605060</t>
  </si>
  <si>
    <t xml:space="preserve">FIRMAN ARDIPUTRA KURNIAWAN    </t>
  </si>
  <si>
    <t xml:space="preserve">CUS063120250608700            </t>
  </si>
  <si>
    <t xml:space="preserve">Kramas</t>
  </si>
  <si>
    <t xml:space="preserve">1063120260405447</t>
  </si>
  <si>
    <t xml:space="preserve">Hary mulyono                  </t>
  </si>
  <si>
    <t xml:space="preserve">CUS063120211105557            </t>
  </si>
  <si>
    <t xml:space="preserve">1063120250404988</t>
  </si>
  <si>
    <t xml:space="preserve">DICKY ERGA MARTIAN PUTRA      </t>
  </si>
  <si>
    <t xml:space="preserve">CUS063120220305969            </t>
  </si>
  <si>
    <t xml:space="preserve">1063120241004805</t>
  </si>
  <si>
    <t xml:space="preserve">SITI SUNARTI                  </t>
  </si>
  <si>
    <t xml:space="preserve">CUS063120241008313            </t>
  </si>
  <si>
    <t xml:space="preserve">1063120260805584</t>
  </si>
  <si>
    <t xml:space="preserve">TIYA DWIYANI                  </t>
  </si>
  <si>
    <t xml:space="preserve">CUS063120260809393            </t>
  </si>
  <si>
    <t xml:space="preserve">1063120260905602</t>
  </si>
  <si>
    <t xml:space="preserve">ANHARI                        </t>
  </si>
  <si>
    <t xml:space="preserve">CUS063120231107816            </t>
  </si>
  <si>
    <t xml:space="preserve">1063120260405456</t>
  </si>
  <si>
    <t xml:space="preserve">YATNO                         </t>
  </si>
  <si>
    <t xml:space="preserve">P19002058531                  </t>
  </si>
  <si>
    <t xml:space="preserve">WACHIDUN                      </t>
  </si>
  <si>
    <t xml:space="preserve">1063120251205327</t>
  </si>
  <si>
    <t xml:space="preserve">SITI NUR HIDAYATI             </t>
  </si>
  <si>
    <t xml:space="preserve">CUS063120220105775            </t>
  </si>
  <si>
    <t xml:space="preserve">1063120260505489</t>
  </si>
  <si>
    <t xml:space="preserve">GALEH PRAMONO                 </t>
  </si>
  <si>
    <t xml:space="preserve">CUS063120210905369            </t>
  </si>
  <si>
    <t xml:space="preserve">1063120250705158</t>
  </si>
  <si>
    <t xml:space="preserve">ainun niam                    </t>
  </si>
  <si>
    <t xml:space="preserve">CUS063120220706423            </t>
  </si>
  <si>
    <t xml:space="preserve">1063120250405002</t>
  </si>
  <si>
    <t xml:space="preserve">FERI YULIANTO                 </t>
  </si>
  <si>
    <t xml:space="preserve">P19002062184                  </t>
  </si>
  <si>
    <t xml:space="preserve">AFRYAN JACKSON FEBRIANTO      </t>
  </si>
  <si>
    <t xml:space="preserve">CUS063120240408001            </t>
  </si>
  <si>
    <t xml:space="preserve">SURTI                         </t>
  </si>
  <si>
    <t xml:space="preserve">P19002049219                  </t>
  </si>
  <si>
    <t xml:space="preserve">Laban</t>
  </si>
  <si>
    <t xml:space="preserve">1063120260805566</t>
  </si>
  <si>
    <t xml:space="preserve">EKO PURWANTI                  </t>
  </si>
  <si>
    <t xml:space="preserve">CUS063120260809379            </t>
  </si>
  <si>
    <t xml:space="preserve">1063120260605523</t>
  </si>
  <si>
    <t xml:space="preserve">SYARWAN SYAHDAWI              </t>
  </si>
  <si>
    <t xml:space="preserve">CUS063120251209069            </t>
  </si>
  <si>
    <t xml:space="preserve">Wonokerto</t>
  </si>
  <si>
    <t xml:space="preserve">1063120250705130</t>
  </si>
  <si>
    <t xml:space="preserve">1063120251105307</t>
  </si>
  <si>
    <t xml:space="preserve">ARI WAHYUNINGSIH              </t>
  </si>
  <si>
    <t xml:space="preserve">CUS063120251109047            </t>
  </si>
  <si>
    <t xml:space="preserve">1063120260705543</t>
  </si>
  <si>
    <t xml:space="preserve">ADE BUDIMAN                   </t>
  </si>
  <si>
    <t xml:space="preserve">077A1403000056                </t>
  </si>
  <si>
    <t xml:space="preserve">AMRIZAL SATYA PRASADHA        </t>
  </si>
  <si>
    <t xml:space="preserve">CUS063120250908941            </t>
  </si>
  <si>
    <t xml:space="preserve">1063120251105301</t>
  </si>
  <si>
    <t xml:space="preserve">MISROKHAH                     </t>
  </si>
  <si>
    <t xml:space="preserve">CUS063120251109033            </t>
  </si>
  <si>
    <t xml:space="preserve">1063120250404990</t>
  </si>
  <si>
    <t xml:space="preserve">AKHMAD ROMZI                  </t>
  </si>
  <si>
    <t xml:space="preserve">CUS063120250408559            </t>
  </si>
  <si>
    <t xml:space="preserve">RUNODHO                       </t>
  </si>
  <si>
    <t xml:space="preserve">P19002052964                  </t>
  </si>
  <si>
    <t xml:space="preserve">1063120260805565</t>
  </si>
  <si>
    <t xml:space="preserve">IMAM RIADI                    </t>
  </si>
  <si>
    <t xml:space="preserve">P263000006054                 </t>
  </si>
  <si>
    <t xml:space="preserve">1063120250805161</t>
  </si>
  <si>
    <t xml:space="preserve">YUNITA ARIS SETIYANI          </t>
  </si>
  <si>
    <t xml:space="preserve">1063120250705144</t>
  </si>
  <si>
    <t xml:space="preserve">FAJRI                         </t>
  </si>
  <si>
    <t xml:space="preserve">CUS063120250708825            </t>
  </si>
  <si>
    <t xml:space="preserve">1063120260405452</t>
  </si>
  <si>
    <t xml:space="preserve">HERI SUMARJAN                 </t>
  </si>
  <si>
    <t xml:space="preserve">CUS063120260409231            </t>
  </si>
  <si>
    <t xml:space="preserve">1063120250605065</t>
  </si>
  <si>
    <t xml:space="preserve">M GENTUR SUBKHAN              </t>
  </si>
  <si>
    <t xml:space="preserve">CUS063120211005467            </t>
  </si>
  <si>
    <t xml:space="preserve">1063120250705113</t>
  </si>
  <si>
    <t xml:space="preserve">MUCHAMAD SOCHIP               </t>
  </si>
  <si>
    <t xml:space="preserve">CUS063120190802081            </t>
  </si>
  <si>
    <t xml:space="preserve">1063120241004783</t>
  </si>
  <si>
    <t xml:space="preserve">SLAMET RIYADI                 </t>
  </si>
  <si>
    <t xml:space="preserve">CUS063120241008285            </t>
  </si>
  <si>
    <t xml:space="preserve">1063120250905235</t>
  </si>
  <si>
    <t xml:space="preserve">ZAENATUL MUNA                 </t>
  </si>
  <si>
    <t xml:space="preserve">CUS063120250908969            </t>
  </si>
  <si>
    <t xml:space="preserve">1063120250905228</t>
  </si>
  <si>
    <t xml:space="preserve">PUNADI                        </t>
  </si>
  <si>
    <t xml:space="preserve">CUS061120200906274            </t>
  </si>
  <si>
    <t xml:space="preserve">1063120251105281</t>
  </si>
  <si>
    <t xml:space="preserve">Suwanto                       </t>
  </si>
  <si>
    <t xml:space="preserve">CUS063120211105554            </t>
  </si>
  <si>
    <t xml:space="preserve">1063120251105283</t>
  </si>
  <si>
    <t xml:space="preserve">Indra Saputra                 </t>
  </si>
  <si>
    <t xml:space="preserve">CUS063120220906494            </t>
  </si>
  <si>
    <t xml:space="preserve">1063120251005263</t>
  </si>
  <si>
    <t xml:space="preserve">1063120260205386</t>
  </si>
  <si>
    <t xml:space="preserve">KARSONO                       </t>
  </si>
  <si>
    <t xml:space="preserve">P263000001171                 </t>
  </si>
  <si>
    <t xml:space="preserve">1063120240404535</t>
  </si>
  <si>
    <t xml:space="preserve">Eni Sugiarti                  </t>
  </si>
  <si>
    <t xml:space="preserve">CUS063120210304859            </t>
  </si>
  <si>
    <t xml:space="preserve">1063120250404982</t>
  </si>
  <si>
    <t xml:space="preserve">MUKLIS                        </t>
  </si>
  <si>
    <t xml:space="preserve">CUS063120250408552            </t>
  </si>
  <si>
    <t xml:space="preserve">1063120250805163</t>
  </si>
  <si>
    <t xml:space="preserve">RIAN HIDAYAT                  </t>
  </si>
  <si>
    <t xml:space="preserve">CUS063120250808841            </t>
  </si>
  <si>
    <t xml:space="preserve">1063120250505031</t>
  </si>
  <si>
    <t xml:space="preserve">SLAMET RIYANTO                </t>
  </si>
  <si>
    <t xml:space="preserve">P19002029330                  </t>
  </si>
  <si>
    <t xml:space="preserve">1063120260705538</t>
  </si>
  <si>
    <t xml:space="preserve">UMAR KHALIL                   </t>
  </si>
  <si>
    <t xml:space="preserve">CUS063120210705166            </t>
  </si>
  <si>
    <t xml:space="preserve">1063120260105382</t>
  </si>
  <si>
    <t xml:space="preserve">CUS063120260109127            </t>
  </si>
  <si>
    <t xml:space="preserve">1063120260705562</t>
  </si>
  <si>
    <t xml:space="preserve">ARIS MUNADHAR                 </t>
  </si>
  <si>
    <t xml:space="preserve">CUS063120260109137            </t>
  </si>
  <si>
    <t xml:space="preserve">SITI MASROFAH                 </t>
  </si>
  <si>
    <t xml:space="preserve">1063120250705157</t>
  </si>
  <si>
    <t xml:space="preserve">SLAMET JUMADI                 </t>
  </si>
  <si>
    <t xml:space="preserve">CUS063120250708837            </t>
  </si>
  <si>
    <t xml:space="preserve">Jurangagung</t>
  </si>
  <si>
    <t xml:space="preserve">1063120260805594</t>
  </si>
  <si>
    <t xml:space="preserve">CUS063120250308537            </t>
  </si>
  <si>
    <t xml:space="preserve">1063120250805203</t>
  </si>
  <si>
    <t xml:space="preserve">FERNANDA RUSMAYANTI           </t>
  </si>
  <si>
    <t xml:space="preserve">CUS020120230211336            </t>
  </si>
  <si>
    <t xml:space="preserve">1063120260905605</t>
  </si>
  <si>
    <t xml:space="preserve">SRI WAHYUNINGSIH              </t>
  </si>
  <si>
    <t xml:space="preserve">CUS063120240107923            </t>
  </si>
  <si>
    <t xml:space="preserve">1063120251005271</t>
  </si>
  <si>
    <t xml:space="preserve">MUDA I                        </t>
  </si>
  <si>
    <t xml:space="preserve">CUS063120251009007            </t>
  </si>
  <si>
    <t xml:space="preserve">Kaliputih</t>
  </si>
  <si>
    <t xml:space="preserve">1063120260805592</t>
  </si>
  <si>
    <t xml:space="preserve">RATNA ENDRA KORNIASARI        </t>
  </si>
  <si>
    <t xml:space="preserve">CUS063120260809395            </t>
  </si>
  <si>
    <t xml:space="preserve">Campurejo</t>
  </si>
  <si>
    <t xml:space="preserve">1063120250705103</t>
  </si>
  <si>
    <t xml:space="preserve">Yesa Aprilia                  </t>
  </si>
  <si>
    <t xml:space="preserve">CUS063120230407465            </t>
  </si>
  <si>
    <t xml:space="preserve">1063120251005277</t>
  </si>
  <si>
    <t xml:space="preserve">RICKY OKTAVIANTO              </t>
  </si>
  <si>
    <t xml:space="preserve">CUS063120251009017            </t>
  </si>
  <si>
    <t xml:space="preserve">1063120240504566</t>
  </si>
  <si>
    <t xml:space="preserve">MUASYAROH                     </t>
  </si>
  <si>
    <t xml:space="preserve">CUS063120190902538            </t>
  </si>
  <si>
    <t xml:space="preserve">Korowelang Kulon</t>
  </si>
  <si>
    <t xml:space="preserve">1063120250404989</t>
  </si>
  <si>
    <t xml:space="preserve">TAOFIQ DANANG WIRAWAN         </t>
  </si>
  <si>
    <t xml:space="preserve">P19000645750                  </t>
  </si>
  <si>
    <t xml:space="preserve">Petung</t>
  </si>
  <si>
    <t xml:space="preserve">1063120260605514</t>
  </si>
  <si>
    <t xml:space="preserve">1063120260405445</t>
  </si>
  <si>
    <t xml:space="preserve">SURATI                        </t>
  </si>
  <si>
    <t xml:space="preserve">P19002011963                  </t>
  </si>
  <si>
    <t xml:space="preserve">1063120260505471</t>
  </si>
  <si>
    <t xml:space="preserve">MARGANDA TUA                  </t>
  </si>
  <si>
    <t xml:space="preserve">CUS063120240808189            </t>
  </si>
  <si>
    <t xml:space="preserve">1063120260805600</t>
  </si>
  <si>
    <t xml:space="preserve">YUYUN PRAMITA                 </t>
  </si>
  <si>
    <t xml:space="preserve">CUS063120250408591            </t>
  </si>
  <si>
    <t xml:space="preserve">1063120260705540</t>
  </si>
  <si>
    <t xml:space="preserve">TRIYANTO                      </t>
  </si>
  <si>
    <t xml:space="preserve">CUS641120220505614            </t>
  </si>
  <si>
    <t xml:space="preserve">1063120260105369</t>
  </si>
  <si>
    <t xml:space="preserve">PAHRUROZI                     </t>
  </si>
  <si>
    <t xml:space="preserve">CUS063120210705123            </t>
  </si>
  <si>
    <t xml:space="preserve">1063120260205402</t>
  </si>
  <si>
    <t xml:space="preserve">MUHAMMAD SAYFUDIN             </t>
  </si>
  <si>
    <t xml:space="preserve">CUS063120260209166            </t>
  </si>
  <si>
    <t xml:space="preserve">1063120240204469</t>
  </si>
  <si>
    <t xml:space="preserve">WIDYANINGRUM                  </t>
  </si>
  <si>
    <t xml:space="preserve">CUS063120211105585            </t>
  </si>
  <si>
    <t xml:space="preserve">1063120260305434</t>
  </si>
  <si>
    <t xml:space="preserve">ROPANDI                       </t>
  </si>
  <si>
    <t xml:space="preserve">CUS063120210905401            </t>
  </si>
  <si>
    <t xml:space="preserve">1063120260705554</t>
  </si>
  <si>
    <t xml:space="preserve">MIFTAHUL ARZAQ                </t>
  </si>
  <si>
    <t xml:space="preserve">CUS063120260709339            </t>
  </si>
  <si>
    <t xml:space="preserve">1063120260805571</t>
  </si>
  <si>
    <t xml:space="preserve">1063120251205342</t>
  </si>
  <si>
    <t xml:space="preserve">RIYANTO                       </t>
  </si>
  <si>
    <t xml:space="preserve">CUS063120251209101            </t>
  </si>
  <si>
    <t xml:space="preserve">1063120260805585</t>
  </si>
  <si>
    <t xml:space="preserve">TUNARI                        </t>
  </si>
  <si>
    <t xml:space="preserve">P19002053826                  </t>
  </si>
  <si>
    <t xml:space="preserve">Harjowinangun Timur</t>
  </si>
  <si>
    <t xml:space="preserve">1063120250705111</t>
  </si>
  <si>
    <t xml:space="preserve">QOTRUNNADA MAHFUDHOH          </t>
  </si>
  <si>
    <t xml:space="preserve">CUS063120250708778            </t>
  </si>
  <si>
    <t xml:space="preserve">1063120251105295</t>
  </si>
  <si>
    <t xml:space="preserve">KHUSNIYAH                     </t>
  </si>
  <si>
    <t xml:space="preserve">CUS063120190701635            </t>
  </si>
  <si>
    <t xml:space="preserve">1063120260305413</t>
  </si>
  <si>
    <t xml:space="preserve">MUHAMMAD SAIFUL SAPUTRA       </t>
  </si>
  <si>
    <t xml:space="preserve">CUS063120230107153            </t>
  </si>
  <si>
    <t xml:space="preserve">1063120260505498</t>
  </si>
  <si>
    <t xml:space="preserve">MUHAMMAD FAJAR NUR FATONY     </t>
  </si>
  <si>
    <t xml:space="preserve">CUS063120260509283            </t>
  </si>
  <si>
    <t xml:space="preserve">1063120250505030</t>
  </si>
  <si>
    <t xml:space="preserve">ROKHANI                       </t>
  </si>
  <si>
    <t xml:space="preserve">CUS063120250508631            </t>
  </si>
  <si>
    <t xml:space="preserve">Banyutowo</t>
  </si>
  <si>
    <t xml:space="preserve">1063120250505018</t>
  </si>
  <si>
    <t xml:space="preserve">LULUK ARISA                   </t>
  </si>
  <si>
    <t xml:space="preserve">CUS063120250508613            </t>
  </si>
  <si>
    <t xml:space="preserve">SITI ROYATUN                  </t>
  </si>
  <si>
    <t xml:space="preserve">1063120260505480</t>
  </si>
  <si>
    <t xml:space="preserve">ROMADHON                      </t>
  </si>
  <si>
    <t xml:space="preserve">CUS063120220406151            </t>
  </si>
  <si>
    <t xml:space="preserve">1063120260505487</t>
  </si>
  <si>
    <t xml:space="preserve">SUTAR                         </t>
  </si>
  <si>
    <t xml:space="preserve">P263000001249                 </t>
  </si>
  <si>
    <t xml:space="preserve">Wonosari</t>
  </si>
  <si>
    <t xml:space="preserve">1063120241204858</t>
  </si>
  <si>
    <t xml:space="preserve">JALALUDDIN RAKHMAT            </t>
  </si>
  <si>
    <t xml:space="preserve">CUS063120241208385            </t>
  </si>
  <si>
    <t xml:space="preserve">Kenconorejo</t>
  </si>
  <si>
    <t xml:space="preserve">Tulis</t>
  </si>
  <si>
    <t xml:space="preserve">1063120260605521</t>
  </si>
  <si>
    <t xml:space="preserve">AKHMAD MUSTOFA                </t>
  </si>
  <si>
    <t xml:space="preserve">CUS063120260609308            </t>
  </si>
  <si>
    <t xml:space="preserve">1063120251105304</t>
  </si>
  <si>
    <t xml:space="preserve">MOSIS                         </t>
  </si>
  <si>
    <t xml:space="preserve">CUS063120230207277            </t>
  </si>
  <si>
    <t xml:space="preserve">1063120250705152</t>
  </si>
  <si>
    <t xml:space="preserve">ARIS SUSORO                   </t>
  </si>
  <si>
    <t xml:space="preserve">GRP19002065380                </t>
  </si>
  <si>
    <t xml:space="preserve">Blorok</t>
  </si>
  <si>
    <t xml:space="preserve">1063120250705151</t>
  </si>
  <si>
    <t xml:space="preserve">ASIH LUDFIANA                 </t>
  </si>
  <si>
    <t xml:space="preserve">CUS063120250708836            </t>
  </si>
  <si>
    <t xml:space="preserve">1063120251205322</t>
  </si>
  <si>
    <t xml:space="preserve">ACHMAD KAMALI                 </t>
  </si>
  <si>
    <t xml:space="preserve">P19002052183                  </t>
  </si>
  <si>
    <t xml:space="preserve">1063120260105372</t>
  </si>
  <si>
    <t xml:space="preserve">DARYANTO                      </t>
  </si>
  <si>
    <t xml:space="preserve">P19002053702                  </t>
  </si>
  <si>
    <t xml:space="preserve">1063120250905212</t>
  </si>
  <si>
    <t xml:space="preserve">ACHMAD MUCHLIS                </t>
  </si>
  <si>
    <t xml:space="preserve">CUS063120230107094            </t>
  </si>
  <si>
    <t xml:space="preserve">1063120260405459</t>
  </si>
  <si>
    <t xml:space="preserve">AHMAD SLAMET SAFI I           </t>
  </si>
  <si>
    <t xml:space="preserve">CUS063120260409236            </t>
  </si>
  <si>
    <t xml:space="preserve">Terboyo Kulon</t>
  </si>
  <si>
    <t xml:space="preserve">1063120250705156</t>
  </si>
  <si>
    <t xml:space="preserve">KUSUMO MURJIANTO              </t>
  </si>
  <si>
    <t xml:space="preserve">CUS063120240407988            </t>
  </si>
  <si>
    <t xml:space="preserve">Purwosari</t>
  </si>
  <si>
    <t xml:space="preserve">1063120250404994</t>
  </si>
  <si>
    <t xml:space="preserve">LINGGAR PANULUNG,ST           </t>
  </si>
  <si>
    <t xml:space="preserve">CUS063120250408560            </t>
  </si>
  <si>
    <t xml:space="preserve">Bandungrejo</t>
  </si>
  <si>
    <t xml:space="preserve">Mranggen</t>
  </si>
  <si>
    <t xml:space="preserve">1063120260205401</t>
  </si>
  <si>
    <t xml:space="preserve">ERVIN NOVIYANTI               </t>
  </si>
  <si>
    <t xml:space="preserve">CUS063120260209162            </t>
  </si>
  <si>
    <t xml:space="preserve">1063120250605076</t>
  </si>
  <si>
    <t xml:space="preserve">LIA OCTAVIANA                 </t>
  </si>
  <si>
    <t xml:space="preserve">CUS063120250608717            </t>
  </si>
  <si>
    <t xml:space="preserve">1063120250505042</t>
  </si>
  <si>
    <t xml:space="preserve">SUKARDIYONO                   </t>
  </si>
  <si>
    <t xml:space="preserve">CUS063120190500950            </t>
  </si>
  <si>
    <t xml:space="preserve">1063120250505043</t>
  </si>
  <si>
    <t xml:space="preserve">AGUS BUDIHARJO                </t>
  </si>
  <si>
    <t xml:space="preserve">P19002056144                  </t>
  </si>
  <si>
    <t xml:space="preserve">1063120250505044</t>
  </si>
  <si>
    <t xml:space="preserve">YUNITA RAHMAWATI              </t>
  </si>
  <si>
    <t xml:space="preserve">CUS063120250508649            </t>
  </si>
  <si>
    <t xml:space="preserve">Pakauman</t>
  </si>
  <si>
    <t xml:space="preserve">1063120260105374</t>
  </si>
  <si>
    <t xml:space="preserve">DEDE ADI RIYANTO              </t>
  </si>
  <si>
    <t xml:space="preserve">P19002058617                  </t>
  </si>
  <si>
    <t xml:space="preserve">1063120260405464</t>
  </si>
  <si>
    <t xml:space="preserve">ARIS HARYANTO                 </t>
  </si>
  <si>
    <t xml:space="preserve">CUS063120260409237            </t>
  </si>
  <si>
    <t xml:space="preserve">Kedungpani</t>
  </si>
  <si>
    <t xml:space="preserve">1063120260405454</t>
  </si>
  <si>
    <t xml:space="preserve">1063120260505468</t>
  </si>
  <si>
    <t xml:space="preserve">AHMAD SUPRIYADI               </t>
  </si>
  <si>
    <t xml:space="preserve">CUS063120260509246            </t>
  </si>
  <si>
    <t xml:space="preserve">1063120260605505</t>
  </si>
  <si>
    <t xml:space="preserve">ARIS SYAMSUDIN                </t>
  </si>
  <si>
    <t xml:space="preserve">1063120260805575</t>
  </si>
  <si>
    <t xml:space="preserve">LILIK SETIAWAN                </t>
  </si>
  <si>
    <t xml:space="preserve">CUS063120260809389            </t>
  </si>
  <si>
    <t xml:space="preserve">1063120240404527</t>
  </si>
  <si>
    <t xml:space="preserve">MISBAHUN NIDHOM               </t>
  </si>
  <si>
    <t xml:space="preserve">CUS063120230807685            </t>
  </si>
  <si>
    <t xml:space="preserve">Galih</t>
  </si>
  <si>
    <t xml:space="preserve">1063120231204407</t>
  </si>
  <si>
    <t xml:space="preserve">KHOLIFAH                      </t>
  </si>
  <si>
    <t xml:space="preserve">CUS063120231207872            </t>
  </si>
  <si>
    <t xml:space="preserve">Wadas</t>
  </si>
  <si>
    <t xml:space="preserve">1063120260405449</t>
  </si>
  <si>
    <t xml:space="preserve">JAMALUDIN ARDIYANSYAH         </t>
  </si>
  <si>
    <t xml:space="preserve">CUS063120260409215            </t>
  </si>
  <si>
    <t xml:space="preserve">Jawisari</t>
  </si>
  <si>
    <t xml:space="preserve">1063120240604605</t>
  </si>
  <si>
    <t xml:space="preserve">INDAH KURNIASIH               </t>
  </si>
  <si>
    <t xml:space="preserve">CUS063120210104776            </t>
  </si>
  <si>
    <t xml:space="preserve">Semampir</t>
  </si>
  <si>
    <t xml:space="preserve">1063120260705563</t>
  </si>
  <si>
    <t xml:space="preserve">CUS063120221006641            </t>
  </si>
  <si>
    <t xml:space="preserve">1063120241004775</t>
  </si>
  <si>
    <t xml:space="preserve">MOCH DAFFA MAULANA FIKRI      </t>
  </si>
  <si>
    <t xml:space="preserve">CUS063120241008276            </t>
  </si>
  <si>
    <t xml:space="preserve">1063120250905210</t>
  </si>
  <si>
    <t xml:space="preserve">ASHAR ZUBAEDI                 </t>
  </si>
  <si>
    <t xml:space="preserve">CUS063120190500838            </t>
  </si>
  <si>
    <t xml:space="preserve">1063120241004787</t>
  </si>
  <si>
    <t xml:space="preserve">A. SOLIKHIN                   </t>
  </si>
  <si>
    <t xml:space="preserve">CUS063120241008290            </t>
  </si>
  <si>
    <t xml:space="preserve">1063120260805576</t>
  </si>
  <si>
    <t xml:space="preserve">SLAMET                        </t>
  </si>
  <si>
    <t xml:space="preserve">CUS063120210805293            </t>
  </si>
  <si>
    <t xml:space="preserve">Bangunrejo</t>
  </si>
  <si>
    <t xml:space="preserve">1063120250705143</t>
  </si>
  <si>
    <t xml:space="preserve">1063120260505491</t>
  </si>
  <si>
    <t xml:space="preserve">WAHYU UTAMI PRIHATININGTIYAS  </t>
  </si>
  <si>
    <t xml:space="preserve">CUS063120260509277            </t>
  </si>
  <si>
    <t xml:space="preserve">1063120251105292</t>
  </si>
  <si>
    <t xml:space="preserve">TUJO                          </t>
  </si>
  <si>
    <t xml:space="preserve">CUS063120210204822            </t>
  </si>
  <si>
    <t xml:space="preserve">Gebangan</t>
  </si>
  <si>
    <t xml:space="preserve">1063120260705541</t>
  </si>
  <si>
    <t xml:space="preserve">LIVFIAN SHIFA ARYANANDIKA     </t>
  </si>
  <si>
    <t xml:space="preserve">CUS063120260709328            </t>
  </si>
  <si>
    <t xml:space="preserve">1063120260705559</t>
  </si>
  <si>
    <t xml:space="preserve">SAHIDA ARIF MUSTOFA           </t>
  </si>
  <si>
    <t xml:space="preserve">CUS063120260709341            </t>
  </si>
  <si>
    <t xml:space="preserve">Jatisari</t>
  </si>
  <si>
    <t xml:space="preserve">1063120251205318</t>
  </si>
  <si>
    <t xml:space="preserve">ABDUL KHOLIQ                  </t>
  </si>
  <si>
    <t xml:space="preserve">CUS063120251209067            </t>
  </si>
  <si>
    <t xml:space="preserve">1063120250705101</t>
  </si>
  <si>
    <t xml:space="preserve">YULIATI                       </t>
  </si>
  <si>
    <t xml:space="preserve">P19002018607                  </t>
  </si>
  <si>
    <t xml:space="preserve">1063120250905229</t>
  </si>
  <si>
    <t xml:space="preserve">SHELLYNA FANGESTIKA SAAT      </t>
  </si>
  <si>
    <t xml:space="preserve">CUS063120250908967            </t>
  </si>
  <si>
    <t xml:space="preserve">1063120260405457</t>
  </si>
  <si>
    <t xml:space="preserve">ANDRI TARDONO                 </t>
  </si>
  <si>
    <t xml:space="preserve">P01000824467                  </t>
  </si>
  <si>
    <t xml:space="preserve">1063120260205405</t>
  </si>
  <si>
    <t xml:space="preserve">ROHADI                        </t>
  </si>
  <si>
    <t xml:space="preserve">CUS063120260209172            </t>
  </si>
  <si>
    <t xml:space="preserve">1063120251205343</t>
  </si>
  <si>
    <t xml:space="preserve">MUHAMMAD ZAENURI              </t>
  </si>
  <si>
    <t xml:space="preserve">CUS063120250708831            </t>
  </si>
  <si>
    <t xml:space="preserve">Salamanmloyo</t>
  </si>
  <si>
    <t xml:space="preserve">1063120240704650</t>
  </si>
  <si>
    <t xml:space="preserve">AGUS WAHYUDI                  </t>
  </si>
  <si>
    <t xml:space="preserve">CUS061120220809428            </t>
  </si>
  <si>
    <t xml:space="preserve">1063120260605518</t>
  </si>
  <si>
    <t xml:space="preserve">SUYATNO                       </t>
  </si>
  <si>
    <t xml:space="preserve">CUS063120240708140            </t>
  </si>
  <si>
    <t xml:space="preserve">Pagergunung</t>
  </si>
  <si>
    <t xml:space="preserve">1063120260905607</t>
  </si>
  <si>
    <t xml:space="preserve">DIYAH FERIYANTI               </t>
  </si>
  <si>
    <t xml:space="preserve">P263000002773                 </t>
  </si>
  <si>
    <t xml:space="preserve">1063120260305428</t>
  </si>
  <si>
    <t xml:space="preserve">BENY PRASETIO WIBOWO          </t>
  </si>
  <si>
    <t xml:space="preserve">CUS063120200103933            </t>
  </si>
  <si>
    <t xml:space="preserve">1063120260805572</t>
  </si>
  <si>
    <t xml:space="preserve">WAHYU NUR FATONI              </t>
  </si>
  <si>
    <t xml:space="preserve">CUS063120241208392            </t>
  </si>
  <si>
    <t xml:space="preserve">1063120251005261</t>
  </si>
  <si>
    <t xml:space="preserve">NAIMAH                        </t>
  </si>
  <si>
    <t xml:space="preserve">CUS063120251009002            </t>
  </si>
  <si>
    <t xml:space="preserve">Payung</t>
  </si>
  <si>
    <t xml:space="preserve">1063120250304978</t>
  </si>
  <si>
    <t xml:space="preserve">KAMROH                        </t>
  </si>
  <si>
    <t xml:space="preserve">CUS063120210805221            </t>
  </si>
  <si>
    <t xml:space="preserve">1063120260805568</t>
  </si>
  <si>
    <t xml:space="preserve">NUR CHOLIFAH                  </t>
  </si>
  <si>
    <t xml:space="preserve">P19002050048                  </t>
  </si>
  <si>
    <t xml:space="preserve">Pidodo Kulon (Widodo Kulon)</t>
  </si>
  <si>
    <t xml:space="preserve">1063120260805595</t>
  </si>
  <si>
    <t xml:space="preserve">MUHAMAD RUDI IRAWAN           </t>
  </si>
  <si>
    <t xml:space="preserve">CUS063120260809397            </t>
  </si>
  <si>
    <t xml:space="preserve">1063120240804709</t>
  </si>
  <si>
    <t xml:space="preserve">MISTARI                       </t>
  </si>
  <si>
    <t xml:space="preserve">P19000321083                  </t>
  </si>
  <si>
    <t xml:space="preserve">1063120260605516</t>
  </si>
  <si>
    <t xml:space="preserve">CHAERU ROZIKIN                </t>
  </si>
  <si>
    <t xml:space="preserve">CUS063120260609307            </t>
  </si>
  <si>
    <t xml:space="preserve">1063120260305425</t>
  </si>
  <si>
    <t xml:space="preserve">1063120251105310</t>
  </si>
  <si>
    <t xml:space="preserve">ERNA NUR FITRIANI             </t>
  </si>
  <si>
    <t xml:space="preserve">CUS063120251109052            </t>
  </si>
  <si>
    <t xml:space="preserve">1063120260905604</t>
  </si>
  <si>
    <t xml:space="preserve">1063120260605532</t>
  </si>
  <si>
    <t xml:space="preserve">JENNY RATNAWATI WIDJUTA       </t>
  </si>
  <si>
    <t xml:space="preserve">CUS061120190902832            </t>
  </si>
  <si>
    <t xml:space="preserve">Kutisari</t>
  </si>
  <si>
    <t xml:space="preserve">Tenggilis Mejoyo</t>
  </si>
  <si>
    <t xml:space="preserve">1063120240504590</t>
  </si>
  <si>
    <t xml:space="preserve">SUWARTI                       </t>
  </si>
  <si>
    <t xml:space="preserve">P057A002032261                </t>
  </si>
  <si>
    <t xml:space="preserve">1063120260705560</t>
  </si>
  <si>
    <t xml:space="preserve">ROHMAN                        </t>
  </si>
  <si>
    <t xml:space="preserve">CUS063120260709331            </t>
  </si>
  <si>
    <t xml:space="preserve">Banjarejo</t>
  </si>
  <si>
    <t xml:space="preserve">1063120260405444</t>
  </si>
  <si>
    <t xml:space="preserve">NUR SIKOH                     </t>
  </si>
  <si>
    <t xml:space="preserve">CUS063120230607631            </t>
  </si>
  <si>
    <t xml:space="preserve">DEWI PURWATININGSIH           </t>
  </si>
  <si>
    <t xml:space="preserve">1063120251005260</t>
  </si>
  <si>
    <t xml:space="preserve">ANNAS MARZUKI                 </t>
  </si>
  <si>
    <t xml:space="preserve">Riyantik                      </t>
  </si>
  <si>
    <t xml:space="preserve">1063120250805165</t>
  </si>
  <si>
    <t xml:space="preserve">WIKO IGAPRILLA HENDRIYANA     </t>
  </si>
  <si>
    <t xml:space="preserve">CUS063120250708839            </t>
  </si>
  <si>
    <t xml:space="preserve">1063120250805169</t>
  </si>
  <si>
    <t xml:space="preserve">ZAKIYATUL FAKHIROH            </t>
  </si>
  <si>
    <t xml:space="preserve">CUS063120220305978            </t>
  </si>
  <si>
    <t xml:space="preserve">1063120260405450</t>
  </si>
  <si>
    <t xml:space="preserve">Istitoah                      </t>
  </si>
  <si>
    <t xml:space="preserve">CUS063120230107109            </t>
  </si>
  <si>
    <t xml:space="preserve">Podosari</t>
  </si>
  <si>
    <t xml:space="preserve">1063120240204468</t>
  </si>
  <si>
    <t xml:space="preserve">AHSANUL KHOLIQIN              </t>
  </si>
  <si>
    <t xml:space="preserve">CUS063120210404927            </t>
  </si>
  <si>
    <t xml:space="preserve">1063120250505019</t>
  </si>
  <si>
    <t xml:space="preserve">SUNITI                        </t>
  </si>
  <si>
    <t xml:space="preserve">P19002049284                  </t>
  </si>
  <si>
    <t xml:space="preserve">1063120250304939</t>
  </si>
  <si>
    <t xml:space="preserve">SITI WIRANTI                  </t>
  </si>
  <si>
    <t xml:space="preserve">CUS063120230507573            </t>
  </si>
  <si>
    <t xml:space="preserve">1063120250505035</t>
  </si>
  <si>
    <t xml:space="preserve">CUS063120250508637            </t>
  </si>
  <si>
    <t xml:space="preserve">1063120260805587</t>
  </si>
  <si>
    <t xml:space="preserve">1063120250505032</t>
  </si>
  <si>
    <t xml:space="preserve">SUWANDI                       </t>
  </si>
  <si>
    <t xml:space="preserve">P19002050321                  </t>
  </si>
  <si>
    <t xml:space="preserve">1063120260805598</t>
  </si>
  <si>
    <t xml:space="preserve">P19002038920                  </t>
  </si>
  <si>
    <t xml:space="preserve">ERNA WIJAYANTI                </t>
  </si>
  <si>
    <t xml:space="preserve">1063120260705547</t>
  </si>
  <si>
    <t xml:space="preserve">DANDI SETIAWAN                </t>
  </si>
  <si>
    <t xml:space="preserve">CUS063120260709336            </t>
  </si>
  <si>
    <t xml:space="preserve">1063120240404547</t>
  </si>
  <si>
    <t xml:space="preserve">ABDUL MUGHIS                  </t>
  </si>
  <si>
    <t xml:space="preserve">CUS063120190701651            </t>
  </si>
  <si>
    <t xml:space="preserve">1063120221003534</t>
  </si>
  <si>
    <t xml:space="preserve">Korimin                       </t>
  </si>
  <si>
    <t xml:space="preserve">CUS063120221006681            </t>
  </si>
  <si>
    <t xml:space="preserve">Tlogopayung</t>
  </si>
  <si>
    <t xml:space="preserve">SUTOMO                        </t>
  </si>
  <si>
    <t xml:space="preserve">P19002008564                  </t>
  </si>
  <si>
    <t xml:space="preserve">1063120260205387</t>
  </si>
  <si>
    <t xml:space="preserve">BADAWI                        </t>
  </si>
  <si>
    <t xml:space="preserve">P19002040978                  </t>
  </si>
  <si>
    <t xml:space="preserve">1063120260605506</t>
  </si>
  <si>
    <t xml:space="preserve">SLAMET SUWIKNYO               </t>
  </si>
  <si>
    <t xml:space="preserve">CUS063120260609294            </t>
  </si>
  <si>
    <t xml:space="preserve">Haryanto                      </t>
  </si>
  <si>
    <t xml:space="preserve">1063120250905214</t>
  </si>
  <si>
    <t xml:space="preserve">SULISTYONING TYAS MANSUROH    </t>
  </si>
  <si>
    <t xml:space="preserve">CUS063120250908931            </t>
  </si>
  <si>
    <t xml:space="preserve">1063120260805596</t>
  </si>
  <si>
    <t xml:space="preserve">ASRI MINANGSIH                </t>
  </si>
  <si>
    <t xml:space="preserve">CUS063120260809398            </t>
  </si>
  <si>
    <t xml:space="preserve">Gedawang</t>
  </si>
  <si>
    <t xml:space="preserve">Banyumanik</t>
  </si>
  <si>
    <t xml:space="preserve">1063120260405446</t>
  </si>
  <si>
    <t xml:space="preserve">NUR HAMIDAH                   </t>
  </si>
  <si>
    <t xml:space="preserve">CUS063120260409209            </t>
  </si>
  <si>
    <t xml:space="preserve">Cangkiran</t>
  </si>
  <si>
    <t xml:space="preserve">1063120260105362</t>
  </si>
  <si>
    <t xml:space="preserve">SUWONO                        </t>
  </si>
  <si>
    <t xml:space="preserve">P19002052026                  </t>
  </si>
  <si>
    <t xml:space="preserve">1063120241204872</t>
  </si>
  <si>
    <t xml:space="preserve">PURWANINGSIH                  </t>
  </si>
  <si>
    <t xml:space="preserve">CUS061120200805878            </t>
  </si>
  <si>
    <t xml:space="preserve">1063120260605526</t>
  </si>
  <si>
    <t xml:space="preserve">SUWONO WIBOWO                 </t>
  </si>
  <si>
    <t xml:space="preserve">CUS063120260609314            </t>
  </si>
  <si>
    <t xml:space="preserve">1063120260305431</t>
  </si>
  <si>
    <t xml:space="preserve">1063120250204909</t>
  </si>
  <si>
    <t xml:space="preserve">Sri mulyani                   </t>
  </si>
  <si>
    <t xml:space="preserve">CUS063120220506276            </t>
  </si>
  <si>
    <t xml:space="preserve">1063120260505472</t>
  </si>
  <si>
    <t xml:space="preserve">MUHAMMAD FAESAL               </t>
  </si>
  <si>
    <t xml:space="preserve">CUS063120260509260            </t>
  </si>
  <si>
    <t xml:space="preserve">1063120260705549</t>
  </si>
  <si>
    <t xml:space="preserve">JUWARTUN                      </t>
  </si>
  <si>
    <t xml:space="preserve">CUS063120260709338            </t>
  </si>
  <si>
    <t xml:space="preserve">Sidodadi</t>
  </si>
  <si>
    <t xml:space="preserve">1063120241104815</t>
  </si>
  <si>
    <t xml:space="preserve">DANI ERMAWANTO                </t>
  </si>
  <si>
    <t xml:space="preserve">CUS063120241108336            </t>
  </si>
  <si>
    <t xml:space="preserve">Carkubi                       </t>
  </si>
  <si>
    <t xml:space="preserve">CUS063120221106761            </t>
  </si>
  <si>
    <t xml:space="preserve">1063120260505481</t>
  </si>
  <si>
    <t xml:space="preserve">AL ALIFAH                     </t>
  </si>
  <si>
    <t xml:space="preserve">CUS063120230607629            </t>
  </si>
  <si>
    <t xml:space="preserve">1063120260505470</t>
  </si>
  <si>
    <t xml:space="preserve">1063120240704647</t>
  </si>
  <si>
    <t xml:space="preserve">SHALIS MUHAMMAD KHANIF        </t>
  </si>
  <si>
    <t xml:space="preserve">CUS063120240708121            </t>
  </si>
  <si>
    <t xml:space="preserve">1063120260805573</t>
  </si>
  <si>
    <t xml:space="preserve">RAGIL KRISTIANTO              </t>
  </si>
  <si>
    <t xml:space="preserve">CUS063120260809384            </t>
  </si>
  <si>
    <t xml:space="preserve">1063120250805190</t>
  </si>
  <si>
    <t xml:space="preserve">YUVENS KRISTIAN GANDASULI     </t>
  </si>
  <si>
    <t xml:space="preserve">CUS063120250808892            </t>
  </si>
  <si>
    <t xml:space="preserve">Listiyo hardiman              </t>
  </si>
  <si>
    <t xml:space="preserve">1063120251005270</t>
  </si>
  <si>
    <t xml:space="preserve">YULISTINA VERAWATI            </t>
  </si>
  <si>
    <t xml:space="preserve">P19002061773                  </t>
  </si>
  <si>
    <t xml:space="preserve">1063120240204454</t>
  </si>
  <si>
    <t xml:space="preserve">P19002054059                  </t>
  </si>
  <si>
    <t xml:space="preserve">Mojo</t>
  </si>
  <si>
    <t xml:space="preserve">KOMSATUN                      </t>
  </si>
  <si>
    <t xml:space="preserve">P19002060693                  </t>
  </si>
  <si>
    <t xml:space="preserve">1063120260605513</t>
  </si>
  <si>
    <t xml:space="preserve">SUPRIADI                      </t>
  </si>
  <si>
    <t xml:space="preserve">P19002059885                  </t>
  </si>
  <si>
    <t xml:space="preserve">1063120260105367</t>
  </si>
  <si>
    <t xml:space="preserve">AGUS RUDIANTO                 </t>
  </si>
  <si>
    <t xml:space="preserve">CUS063120260109124            </t>
  </si>
  <si>
    <t xml:space="preserve">1063120251005264</t>
  </si>
  <si>
    <t xml:space="preserve">SUTRISNO                      </t>
  </si>
  <si>
    <t xml:space="preserve">P19002063506                  </t>
  </si>
  <si>
    <t xml:space="preserve">Kalibogor</t>
  </si>
  <si>
    <t xml:space="preserve">1063120260505490</t>
  </si>
  <si>
    <t xml:space="preserve">1063120260605528</t>
  </si>
  <si>
    <t xml:space="preserve">NASORI                        </t>
  </si>
  <si>
    <t xml:space="preserve">CUS063120260609312            </t>
  </si>
  <si>
    <t xml:space="preserve">Plososari</t>
  </si>
  <si>
    <t xml:space="preserve">1063120251105300</t>
  </si>
  <si>
    <t xml:space="preserve">DADANG NOVIYANTO              </t>
  </si>
  <si>
    <t xml:space="preserve">CUS063120251109037            </t>
  </si>
  <si>
    <t xml:space="preserve">1063120240804693</t>
  </si>
  <si>
    <t xml:space="preserve">ABDUL MUNTOLIB                </t>
  </si>
  <si>
    <t xml:space="preserve">CUS063120240808179            </t>
  </si>
  <si>
    <t xml:space="preserve">Pekuncen</t>
  </si>
  <si>
    <t xml:space="preserve">1063120250405003</t>
  </si>
  <si>
    <t xml:space="preserve">KUSWANDI                      </t>
  </si>
  <si>
    <t xml:space="preserve">CUS063120211105634            </t>
  </si>
  <si>
    <t xml:space="preserve">1063120250405012</t>
  </si>
  <si>
    <t xml:space="preserve">WULAN NOVIA TANTRI            </t>
  </si>
  <si>
    <t xml:space="preserve">CUS063120250408609            </t>
  </si>
  <si>
    <t xml:space="preserve">1063120250405009</t>
  </si>
  <si>
    <t xml:space="preserve">1063120240804706</t>
  </si>
  <si>
    <t xml:space="preserve">SAKIR                         </t>
  </si>
  <si>
    <t xml:space="preserve">CUS063120240808199            </t>
  </si>
  <si>
    <t xml:space="preserve">Tedunan</t>
  </si>
  <si>
    <t xml:space="preserve">ANDI NURHAKIKI                </t>
  </si>
  <si>
    <t xml:space="preserve">CAHYA KARDININGSIH            </t>
  </si>
  <si>
    <t xml:space="preserve">1063120260205409</t>
  </si>
  <si>
    <t xml:space="preserve">YOGGI DWI ARISTIAN            </t>
  </si>
  <si>
    <t xml:space="preserve">CUS063120260209180            </t>
  </si>
  <si>
    <t xml:space="preserve">UMI ERNIATI                   </t>
  </si>
  <si>
    <t xml:space="preserve">1063120250805178</t>
  </si>
  <si>
    <t xml:space="preserve">GIYANTONO                     </t>
  </si>
  <si>
    <t xml:space="preserve">CUS063120250808861            </t>
  </si>
  <si>
    <t xml:space="preserve">1063120251005246</t>
  </si>
  <si>
    <t xml:space="preserve">MASKUR                        </t>
  </si>
  <si>
    <t xml:space="preserve">CUS063120251008988            </t>
  </si>
  <si>
    <t xml:space="preserve">1063120260705537</t>
  </si>
  <si>
    <t xml:space="preserve">DALMADI                       </t>
  </si>
  <si>
    <t xml:space="preserve">CUS063120220306022            </t>
  </si>
  <si>
    <t xml:space="preserve">1063120250805197</t>
  </si>
  <si>
    <t xml:space="preserve">TUMARI                        </t>
  </si>
  <si>
    <t xml:space="preserve">P19002055048                  </t>
  </si>
  <si>
    <t xml:space="preserve">1063120250805172</t>
  </si>
  <si>
    <t xml:space="preserve">FARIS RABBANI                 </t>
  </si>
  <si>
    <t xml:space="preserve">CUS063120250808853            </t>
  </si>
  <si>
    <t xml:space="preserve">1063120260605503</t>
  </si>
  <si>
    <t xml:space="preserve">MISRU                         </t>
  </si>
  <si>
    <t xml:space="preserve">CUS063120240808195            </t>
  </si>
  <si>
    <t xml:space="preserve">Kajan</t>
  </si>
  <si>
    <t xml:space="preserve">Blega</t>
  </si>
  <si>
    <t xml:space="preserve">1063120250705116</t>
  </si>
  <si>
    <t xml:space="preserve">Sutrisno                      </t>
  </si>
  <si>
    <t xml:space="preserve">CUS063120220606316            </t>
  </si>
  <si>
    <t xml:space="preserve">1063120260205393</t>
  </si>
  <si>
    <t xml:space="preserve">AHMAD CHOIRUDIN               </t>
  </si>
  <si>
    <t xml:space="preserve">CUS063120260209152            </t>
  </si>
  <si>
    <t xml:space="preserve">1063120250505021</t>
  </si>
  <si>
    <t xml:space="preserve">MUKRIM                        </t>
  </si>
  <si>
    <t xml:space="preserve">CUS063120190601451            </t>
  </si>
  <si>
    <t xml:space="preserve">1063120260805582</t>
  </si>
  <si>
    <t xml:space="preserve">KUNYATI                       </t>
  </si>
  <si>
    <t xml:space="preserve">CUS063120241008311            </t>
  </si>
  <si>
    <t xml:space="preserve">ISROPI                        </t>
  </si>
  <si>
    <t xml:space="preserve">CUS063120240608105            </t>
  </si>
  <si>
    <t xml:space="preserve">1063120260205398</t>
  </si>
  <si>
    <t xml:space="preserve">BUDI SANTOSA                  </t>
  </si>
  <si>
    <t xml:space="preserve">CUS063120260209154            </t>
  </si>
  <si>
    <t xml:space="preserve">Kalicari</t>
  </si>
  <si>
    <t xml:space="preserve">1063120260705548</t>
  </si>
  <si>
    <t xml:space="preserve">FERI SULISTIYO                </t>
  </si>
  <si>
    <t xml:space="preserve">CUS063120260709333            </t>
  </si>
  <si>
    <t xml:space="preserve">1063120251205325</t>
  </si>
  <si>
    <t xml:space="preserve">BAYU NURSAHID                 </t>
  </si>
  <si>
    <t xml:space="preserve">CUS063120251209078            </t>
  </si>
  <si>
    <t xml:space="preserve">1063120250104880</t>
  </si>
  <si>
    <t xml:space="preserve">DWI SEPTIYANTO                </t>
  </si>
  <si>
    <t xml:space="preserve">P19002057409                  </t>
  </si>
  <si>
    <t xml:space="preserve">Sukodono</t>
  </si>
  <si>
    <t xml:space="preserve">1063120250705146</t>
  </si>
  <si>
    <t xml:space="preserve">JUWARIYAH                     </t>
  </si>
  <si>
    <t xml:space="preserve">CUS063120250708804            </t>
  </si>
  <si>
    <t xml:space="preserve">Kepuh</t>
  </si>
  <si>
    <t xml:space="preserve">1063120241104829</t>
  </si>
  <si>
    <t xml:space="preserve">SLAMET SULTON                 </t>
  </si>
  <si>
    <t xml:space="preserve">CUS063120241108360            </t>
  </si>
  <si>
    <t xml:space="preserve">1063120250705105</t>
  </si>
  <si>
    <t xml:space="preserve">SUGIONO                       </t>
  </si>
  <si>
    <t xml:space="preserve">CUS063120250708762            </t>
  </si>
  <si>
    <t xml:space="preserve">1063120250705112</t>
  </si>
  <si>
    <t xml:space="preserve">1063120251205329</t>
  </si>
  <si>
    <t xml:space="preserve">AFINA KHOIRUNNISA             </t>
  </si>
  <si>
    <t xml:space="preserve">CUS063120251209088            </t>
  </si>
  <si>
    <t xml:space="preserve">Tambakaji</t>
  </si>
  <si>
    <t xml:space="preserve">1063120251205341</t>
  </si>
  <si>
    <t xml:space="preserve">KASIMAN                       </t>
  </si>
  <si>
    <t xml:space="preserve">CUS063120251209092            </t>
  </si>
  <si>
    <t xml:space="preserve">Muktiharjo Kidul</t>
  </si>
  <si>
    <t xml:space="preserve">1063120250705099</t>
  </si>
  <si>
    <t xml:space="preserve">JADWAN                        </t>
  </si>
  <si>
    <t xml:space="preserve">CUS063120250708755            </t>
  </si>
  <si>
    <t xml:space="preserve">1063120250705124</t>
  </si>
  <si>
    <t xml:space="preserve">MOHAMMAD NASIR                </t>
  </si>
  <si>
    <t xml:space="preserve">CUS063120250708782            </t>
  </si>
  <si>
    <t xml:space="preserve">1063120260805583</t>
  </si>
  <si>
    <t xml:space="preserve">1063120250805183</t>
  </si>
  <si>
    <t xml:space="preserve">NOVMI HARLYNINGSIH            </t>
  </si>
  <si>
    <t xml:space="preserve">CUS063120250808877            </t>
  </si>
  <si>
    <t xml:space="preserve">Sampangan</t>
  </si>
  <si>
    <t xml:space="preserve">Gajah Mungkur</t>
  </si>
  <si>
    <t xml:space="preserve">1063120251105302</t>
  </si>
  <si>
    <t xml:space="preserve">TRI UTOMO                     </t>
  </si>
  <si>
    <t xml:space="preserve">CUS063120251109051            </t>
  </si>
  <si>
    <t xml:space="preserve">1063120250705126</t>
  </si>
  <si>
    <t xml:space="preserve">1063120260705539</t>
  </si>
  <si>
    <t xml:space="preserve">JAMALUDIN                     </t>
  </si>
  <si>
    <t xml:space="preserve">CUS063120190802297            </t>
  </si>
  <si>
    <t xml:space="preserve">1063120250805180</t>
  </si>
  <si>
    <t xml:space="preserve">SARNOTO                       </t>
  </si>
  <si>
    <t xml:space="preserve">071A0971000125                </t>
  </si>
  <si>
    <t xml:space="preserve">1063120260505485</t>
  </si>
  <si>
    <t xml:space="preserve">MUHAMMAD SUKRON FATKHUR ROZAQ </t>
  </si>
  <si>
    <t xml:space="preserve">CUS063120260509265            </t>
  </si>
  <si>
    <t xml:space="preserve">1063120250104906</t>
  </si>
  <si>
    <t xml:space="preserve">ARI MUJIONO                   </t>
  </si>
  <si>
    <t xml:space="preserve">CUS063120200103799            </t>
  </si>
  <si>
    <t xml:space="preserve">1063120260805569</t>
  </si>
  <si>
    <t xml:space="preserve">SITI ASIYAH                   </t>
  </si>
  <si>
    <t xml:space="preserve">CUS063120260809382            </t>
  </si>
  <si>
    <t xml:space="preserve">Gubugsari</t>
  </si>
  <si>
    <t xml:space="preserve">1063120260205400</t>
  </si>
  <si>
    <t xml:space="preserve">AHMAD ZAKY                    </t>
  </si>
  <si>
    <t xml:space="preserve">CUS063120260209160            </t>
  </si>
  <si>
    <t xml:space="preserve">1063120260605509</t>
  </si>
  <si>
    <t xml:space="preserve">ALFRA NURDIANSYAH             </t>
  </si>
  <si>
    <t xml:space="preserve">CUS063120260609297            </t>
  </si>
  <si>
    <t xml:space="preserve">1063120260705552</t>
  </si>
  <si>
    <t xml:space="preserve">KUSMAYADI                     </t>
  </si>
  <si>
    <t xml:space="preserve">CUS063120260709329            </t>
  </si>
  <si>
    <t xml:space="preserve">1063120241104828</t>
  </si>
  <si>
    <t xml:space="preserve">NGASINI                       </t>
  </si>
  <si>
    <t xml:space="preserve">P19002043088                  </t>
  </si>
  <si>
    <t xml:space="preserve">VANNI EKA PRASTIKNO           </t>
  </si>
  <si>
    <t xml:space="preserve">CUS063120231207869            </t>
  </si>
  <si>
    <t xml:space="preserve">1063120260505478</t>
  </si>
  <si>
    <t xml:space="preserve">SAMARI                        </t>
  </si>
  <si>
    <t xml:space="preserve">CUS063120250708786            </t>
  </si>
  <si>
    <t xml:space="preserve">1063120260505473</t>
  </si>
  <si>
    <t xml:space="preserve">AKROM WAHADI                  </t>
  </si>
  <si>
    <t xml:space="preserve">CUS063120260509256            </t>
  </si>
  <si>
    <t xml:space="preserve">1063120251105315</t>
  </si>
  <si>
    <t xml:space="preserve">1063120241004795</t>
  </si>
  <si>
    <t xml:space="preserve">MUNAWAROH                     </t>
  </si>
  <si>
    <t xml:space="preserve">CUS063120240808197            </t>
  </si>
  <si>
    <t xml:space="preserve">1063120241104843</t>
  </si>
  <si>
    <t xml:space="preserve">KALIMAH                       </t>
  </si>
  <si>
    <t xml:space="preserve">CUS063120241108376            </t>
  </si>
  <si>
    <t xml:space="preserve">1063120221103633</t>
  </si>
  <si>
    <t xml:space="preserve">Yuli setiawan                 </t>
  </si>
  <si>
    <t xml:space="preserve">CUS063120221106840            </t>
  </si>
  <si>
    <t xml:space="preserve">Pucuksari</t>
  </si>
  <si>
    <t xml:space="preserve">1063120260105383</t>
  </si>
  <si>
    <t xml:space="preserve">ARIF ADI PRAMONO              </t>
  </si>
  <si>
    <t xml:space="preserve">CUS063120260109146            </t>
  </si>
  <si>
    <t xml:space="preserve">1063120260605525</t>
  </si>
  <si>
    <t xml:space="preserve">RETNO WULANDARI               </t>
  </si>
  <si>
    <t xml:space="preserve">CUS063120260609304            </t>
  </si>
  <si>
    <t xml:space="preserve">HERMANTO                      </t>
  </si>
  <si>
    <t xml:space="preserve">1063120260705553</t>
  </si>
  <si>
    <t xml:space="preserve">1063120231104351</t>
  </si>
  <si>
    <t xml:space="preserve">ARUM LESTARI                  </t>
  </si>
  <si>
    <t xml:space="preserve">CUS063120231107819            </t>
  </si>
  <si>
    <t xml:space="preserve">1063120260105358</t>
  </si>
  <si>
    <t xml:space="preserve">ALAMIN                        </t>
  </si>
  <si>
    <t xml:space="preserve">P057A002038848                </t>
  </si>
  <si>
    <t xml:space="preserve">Luwung</t>
  </si>
  <si>
    <t xml:space="preserve">1063120250605064</t>
  </si>
  <si>
    <t xml:space="preserve">AKHMAD GUNAWAN                </t>
  </si>
  <si>
    <t xml:space="preserve">CUS063120190400309            </t>
  </si>
  <si>
    <t xml:space="preserve">1063120260205411</t>
  </si>
  <si>
    <t xml:space="preserve">DARTO                         </t>
  </si>
  <si>
    <t xml:space="preserve">P19000106453                  </t>
  </si>
  <si>
    <t xml:space="preserve">1063120240804719</t>
  </si>
  <si>
    <t xml:space="preserve">MUKHAMMAD SAEKODIN            </t>
  </si>
  <si>
    <t xml:space="preserve">CUS063120240808218            </t>
  </si>
  <si>
    <t xml:space="preserve">1063120250404985</t>
  </si>
  <si>
    <t xml:space="preserve">LIWON                         </t>
  </si>
  <si>
    <t xml:space="preserve">CUS063120210605103            </t>
  </si>
  <si>
    <t xml:space="preserve">1063120241104823</t>
  </si>
  <si>
    <t xml:space="preserve">DIANA YUSUF                   </t>
  </si>
  <si>
    <t xml:space="preserve">CUS063120241108342            </t>
  </si>
  <si>
    <t xml:space="preserve">1063120230804255</t>
  </si>
  <si>
    <t xml:space="preserve">AMELYA ADRIANI PUTRI          </t>
  </si>
  <si>
    <t xml:space="preserve">CUS063120230807721            </t>
  </si>
  <si>
    <t xml:space="preserve">1063120260205390</t>
  </si>
  <si>
    <t xml:space="preserve">AMBAR TRIWARA WINARNI         </t>
  </si>
  <si>
    <t xml:space="preserve">CUS063120251209075            </t>
  </si>
  <si>
    <t xml:space="preserve">1063120251005258</t>
  </si>
  <si>
    <t xml:space="preserve">Didik setyobudi               </t>
  </si>
  <si>
    <t xml:space="preserve">CUS063120230207297            </t>
  </si>
  <si>
    <t xml:space="preserve">Candiroto</t>
  </si>
  <si>
    <t xml:space="preserve">1063120250805173</t>
  </si>
  <si>
    <t xml:space="preserve">ACHMAT SAFAADI                </t>
  </si>
  <si>
    <t xml:space="preserve">CUS063120250808859            </t>
  </si>
  <si>
    <t xml:space="preserve">1063120251105305</t>
  </si>
  <si>
    <t xml:space="preserve">WINDA IRMAWANTI               </t>
  </si>
  <si>
    <t xml:space="preserve">CUS063120240408002            </t>
  </si>
  <si>
    <t xml:space="preserve">1063120250905234</t>
  </si>
  <si>
    <t xml:space="preserve">ROMELAH WIDIASTUTI            </t>
  </si>
  <si>
    <t xml:space="preserve">CUS063120250908978            </t>
  </si>
  <si>
    <t xml:space="preserve">1063120260305437</t>
  </si>
  <si>
    <t xml:space="preserve">1063120260305435</t>
  </si>
  <si>
    <t xml:space="preserve">KEMI                          </t>
  </si>
  <si>
    <t xml:space="preserve">P257000005293                 </t>
  </si>
  <si>
    <t xml:space="preserve">1063120221003519</t>
  </si>
  <si>
    <t xml:space="preserve">Mubandiyah                    </t>
  </si>
  <si>
    <t xml:space="preserve">CUS063120210104768            </t>
  </si>
  <si>
    <t xml:space="preserve">1063120250405004</t>
  </si>
  <si>
    <t xml:space="preserve">WINARSO                       </t>
  </si>
  <si>
    <t xml:space="preserve">CUS063120250408589            </t>
  </si>
  <si>
    <t xml:space="preserve">Wonosegoro</t>
  </si>
  <si>
    <t xml:space="preserve">1063120260705544</t>
  </si>
  <si>
    <t xml:space="preserve">Masroji                       </t>
  </si>
  <si>
    <t xml:space="preserve">CUS063120230107144            </t>
  </si>
  <si>
    <t xml:space="preserve">1063120240604600</t>
  </si>
  <si>
    <t xml:space="preserve">Ahmad hidayat                 </t>
  </si>
  <si>
    <t xml:space="preserve">CUS063120220306017            </t>
  </si>
  <si>
    <t xml:space="preserve">1063120260105355</t>
  </si>
  <si>
    <t xml:space="preserve">MINTARSIH                     </t>
  </si>
  <si>
    <t xml:space="preserve">P19002046562                  </t>
  </si>
  <si>
    <t xml:space="preserve">Damarsari</t>
  </si>
  <si>
    <t xml:space="preserve">1063120240504571</t>
  </si>
  <si>
    <t xml:space="preserve">HERI SUCIPTO                  </t>
  </si>
  <si>
    <t xml:space="preserve">CUS063120191103266            </t>
  </si>
  <si>
    <t xml:space="preserve">1063120240704649</t>
  </si>
  <si>
    <t xml:space="preserve">FERDINAND YULIUS MASINAMBOW   </t>
  </si>
  <si>
    <t xml:space="preserve">CUS063120240708128            </t>
  </si>
  <si>
    <t xml:space="preserve">1063120250204937</t>
  </si>
  <si>
    <t xml:space="preserve">MUHAMAD ADI SAPUTRA           </t>
  </si>
  <si>
    <t xml:space="preserve">CUS063120250208473            </t>
  </si>
  <si>
    <t xml:space="preserve">1063120251005250</t>
  </si>
  <si>
    <t xml:space="preserve">WAHIDAH                       </t>
  </si>
  <si>
    <t xml:space="preserve">P19002063366                  </t>
  </si>
  <si>
    <t xml:space="preserve">1063120250805162</t>
  </si>
  <si>
    <t xml:space="preserve">AKHMAD FAHRUROZI              </t>
  </si>
  <si>
    <t xml:space="preserve">P19002064213                  </t>
  </si>
  <si>
    <t xml:space="preserve">Kalirandu Gede</t>
  </si>
  <si>
    <t xml:space="preserve">1063120240804675</t>
  </si>
  <si>
    <t xml:space="preserve">SUWINI                        </t>
  </si>
  <si>
    <t xml:space="preserve">CUS063120240708157            </t>
  </si>
  <si>
    <t xml:space="preserve">YAYUK INDRIAWATI              </t>
  </si>
  <si>
    <t xml:space="preserve">P19002064805                  </t>
  </si>
  <si>
    <t xml:space="preserve">1063120260505475</t>
  </si>
  <si>
    <t xml:space="preserve">SITI NURUL RIWAYATI           </t>
  </si>
  <si>
    <t xml:space="preserve">CUS063120260509251            </t>
  </si>
  <si>
    <t xml:space="preserve">1063120240704636</t>
  </si>
  <si>
    <t xml:space="preserve">HERU KRISWANTONO              </t>
  </si>
  <si>
    <t xml:space="preserve">CUS063120230307327            </t>
  </si>
  <si>
    <t xml:space="preserve">1063120241004778</t>
  </si>
  <si>
    <t xml:space="preserve">KUSTIYANA                     </t>
  </si>
  <si>
    <t xml:space="preserve">P19002059871                  </t>
  </si>
  <si>
    <t xml:space="preserve">1063120241004785</t>
  </si>
  <si>
    <t xml:space="preserve">ACHMAD SOKIB                  </t>
  </si>
  <si>
    <t xml:space="preserve">CUS063120241008288            </t>
  </si>
  <si>
    <t xml:space="preserve">1063120241004797</t>
  </si>
  <si>
    <t xml:space="preserve">RIZKI SUPRIHATIN              </t>
  </si>
  <si>
    <t xml:space="preserve">CUS063120190601381            </t>
  </si>
  <si>
    <t xml:space="preserve">1063120250404981</t>
  </si>
  <si>
    <t xml:space="preserve">MUHAMMAD SUBKHAN              </t>
  </si>
  <si>
    <t xml:space="preserve">CUS063120250408546            </t>
  </si>
  <si>
    <t xml:space="preserve">1063120260205396</t>
  </si>
  <si>
    <t xml:space="preserve">NURUL KHASANAH                </t>
  </si>
  <si>
    <t xml:space="preserve">GRP19002065448                </t>
  </si>
  <si>
    <t xml:space="preserve">1063120260105373</t>
  </si>
  <si>
    <t xml:space="preserve">P19002053054        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</si>
</sst>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0"/>
      <charset val="134"/>
    </font>
    <font>
      <sz val="10"/>
      <color rgb="FF000000"/>
      <name val="Calibri"/>
      <family val="0"/>
      <charset val="134"/>
    </font>
    <font>
      <b val="true"/>
      <sz val="12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8.25"/>
      <color rgb="FF4F4F4F"/>
      <name val="Verdana"/>
      <family val="0"/>
      <charset val="134"/>
    </font>
    <font>
      <sz val="10"/>
      <color theme="1"/>
      <name val="Arial"/>
      <family val="0"/>
      <charset val="134"/>
    </font>
    <font>
      <u val="single"/>
      <sz val="11"/>
      <color rgb="FF0000FF"/>
      <name val="Calibri"/>
      <family val="0"/>
      <charset val="134"/>
    </font>
    <font>
      <sz val="12"/>
      <color theme="1"/>
      <name val="Calibri"/>
      <family val="0"/>
      <charset val="134"/>
    </font>
    <font>
      <sz val="12"/>
      <color rgb="FF000000"/>
      <name val="Calibri"/>
      <family val="0"/>
      <charset val="134"/>
    </font>
    <font>
      <sz val="11"/>
      <color rgb="FF1F1F1F"/>
      <name val="Calibri"/>
      <family val="0"/>
      <charset val="134"/>
    </font>
    <font>
      <sz val="11"/>
      <color rgb="FF000000"/>
      <name val="Calibri"/>
      <family val="0"/>
      <charset val="134"/>
    </font>
    <font>
      <u val="single"/>
      <sz val="10"/>
      <color rgb="FF000000"/>
      <name val="Calibri"/>
      <family val="0"/>
      <charset val="134"/>
    </font>
    <font>
      <u val="single"/>
      <sz val="11"/>
      <color rgb="FF800080"/>
      <name val="Calibri"/>
      <family val="0"/>
      <charset val="134"/>
    </font>
    <font>
      <sz val="8.25"/>
      <color rgb="FF000000"/>
      <name val="Verdana"/>
      <family val="0"/>
      <charset val="134"/>
    </font>
    <font>
      <sz val="8"/>
      <color rgb="FF000000"/>
      <name val="Verdana"/>
      <family val="0"/>
      <charset val="134"/>
    </font>
    <font>
      <sz val="9.75"/>
      <color rgb="FF5F67D5"/>
      <name val="Arial"/>
      <family val="0"/>
      <charset val="134"/>
    </font>
    <font>
      <b val="true"/>
      <sz val="10"/>
      <color theme="1"/>
      <name val="Arial"/>
      <family val="0"/>
      <charset val="134"/>
    </font>
    <font>
      <u val="single"/>
      <sz val="11"/>
      <color rgb="FF000000"/>
      <name val="Calibri"/>
      <family val="0"/>
      <charset val="134"/>
    </font>
    <font>
      <sz val="8"/>
      <color rgb="FF4F4F4F"/>
      <name val="Verdana"/>
      <family val="0"/>
      <charset val="134"/>
    </font>
    <font>
      <sz val="9"/>
      <color rgb="FF5F67D5"/>
      <name val="Arial"/>
      <family val="0"/>
      <charset val="134"/>
    </font>
    <font>
      <u val="single"/>
      <sz val="10"/>
      <color rgb="FF0000FF"/>
      <name val="Calibri"/>
      <family val="0"/>
      <charset val="134"/>
    </font>
    <font>
      <sz val="10"/>
      <color rgb="FF5F67D5"/>
      <name val="Times New Roman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CCCCCC"/>
      </patternFill>
    </fill>
    <fill>
      <patternFill patternType="solid">
        <fgColor rgb="FF000000"/>
        <bgColor rgb="FF1F1F1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9D9D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>
        <color rgb="FFD9D9D9"/>
      </right>
      <top style="medium"/>
      <bottom style="medium">
        <color rgb="FFD9D9D9"/>
      </bottom>
      <diagonal/>
    </border>
    <border diagonalUp="false" diagonalDown="false">
      <left style="medium">
        <color rgb="FFCCCCCC"/>
      </left>
      <right style="medium">
        <color rgb="FFD9D9D9"/>
      </right>
      <top style="medium"/>
      <bottom style="medium">
        <color rgb="FFD9D9D9"/>
      </bottom>
      <diagonal/>
    </border>
    <border diagonalUp="false" diagonalDown="false">
      <left style="medium">
        <color rgb="FFCCCCCC"/>
      </left>
      <right style="medium"/>
      <top style="medium"/>
      <bottom style="medium">
        <color rgb="FFD9D9D9"/>
      </bottom>
      <diagonal/>
    </border>
    <border diagonalUp="false" diagonalDown="false">
      <left style="medium"/>
      <right style="medium">
        <color rgb="FFD9D9D9"/>
      </right>
      <top style="medium">
        <color rgb="FFCCCCCC"/>
      </top>
      <bottom style="medium">
        <color rgb="FFD9D9D9"/>
      </bottom>
      <diagonal/>
    </border>
    <border diagonalUp="false" diagonalDown="false"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D9D9D9"/>
      </bottom>
      <diagonal/>
    </border>
    <border diagonalUp="false" diagonalDown="false">
      <left style="medium"/>
      <right style="medium">
        <color rgb="FFD9D9D9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D9D9D9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7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4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6" fontId="1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7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6" borderId="8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6" borderId="9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10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1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1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6" borderId="10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6" borderId="1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6" borderId="1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13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14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0" fillId="4" borderId="15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true">
      <alignment horizontal="general" vertical="top" textRotation="0" wrapText="false" indent="0" shrinkToFit="false" readingOrder="1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*unknown*" xfId="20" builtinId="8"/>
  </cellStyles>
  <dxfs count="16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F4F4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5F67D5"/>
          <bgColor rgb="FF000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 patternType="solid">
          <fgColor rgb="FF0563C1"/>
          <bgColor rgb="FF000000"/>
        </patternFill>
      </fill>
    </dxf>
    <dxf>
      <font>
        <color rgb="FF000000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BE5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7D5"/>
      <rgbColor rgb="FF969696"/>
      <rgbColor rgb="FF003366"/>
      <rgbColor rgb="FF339966"/>
      <rgbColor rgb="FF003300"/>
      <rgbColor rgb="FF333300"/>
      <rgbColor rgb="FF993300"/>
      <rgbColor rgb="FF993366"/>
      <rgbColor rgb="FF4F4F4F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?z=12&amp;t=m&amp;q=loc:-6.973941+109.927605" TargetMode="External"/><Relationship Id="rId2" Type="http://schemas.openxmlformats.org/officeDocument/2006/relationships/hyperlink" Target="https://www.google.com/maps/place/6&#176;58&apos;02.0%22S+110&#176;04&apos;40.3%22E/@-6.967223,110.0752861,17z/data=!3m1!4b1!4m4!3m3!8m2!3d-6.967223!4d110.077861?entry=ttu&amp;g_ep=EgoyMDI2MDIwMS4wIKXMDSoKLDEwMDc5MjA3MUgBUAM%3D" TargetMode="External"/><Relationship Id="rId3" Type="http://schemas.openxmlformats.org/officeDocument/2006/relationships/hyperlink" Target="https://www.google.com/maps?z=12&amp;t=m&amp;q=loc:-7.033076+109.905426" TargetMode="External"/><Relationship Id="rId4" Type="http://schemas.openxmlformats.org/officeDocument/2006/relationships/hyperlink" Target="http://google.com/maps?z=12&amp;t=m&amp;q=loc:-7.079575+109.934911" TargetMode="External"/><Relationship Id="rId5" Type="http://schemas.openxmlformats.org/officeDocument/2006/relationships/hyperlink" Target="https://www.google.com/maps?z=12&amp;t=m&amp;q=loc:-6.970127+110.254722" TargetMode="External"/><Relationship Id="rId6" Type="http://schemas.openxmlformats.org/officeDocument/2006/relationships/hyperlink" Target="https://www.google.com/maps/place/7&#176;01&apos;19.5%22S+110&#176;06&apos;47.9%22E/@-7.022069,110.1107221,17z/data=!3m1!4b1!4m4!3m3!8m2!3d-7.022069!4d110.113297?entry=ttu&amp;g_ep=EgoyMDI1MTIwMi4wIKXMDSoASAFQAw%3D%3D" TargetMode="External"/><Relationship Id="rId7" Type="http://schemas.openxmlformats.org/officeDocument/2006/relationships/hyperlink" Target="https://www.google.com/maps/place/6&#176;56&apos;38.5%22S+109&#176;56&apos;59.9%22E/@-6.944031,109.9473851,17z/data=!3m1!4b1!4m4!3m3!8m2!3d-6.944031!4d109.94996?entry=ttu&amp;g_ep=EgoyMDI1MTEyMy4xIKXMDSoASAFQAw%3D%3D" TargetMode="External"/><Relationship Id="rId8" Type="http://schemas.openxmlformats.org/officeDocument/2006/relationships/hyperlink" Target="https://www.google.com/maps/place/7&#176;02&apos;26.3%22S+110&#176;01&apos;51.5%22E/@-7.040647,110.0284091,17z/data=!3m1!4b1!4m4!3m3!8m2!3d-7.040647!4d110.030984?entry=ttu&amp;g_ep=EgoyMDI1MTIwMi4wIKXMDSoASAFQAw%3D%3D" TargetMode="External"/><Relationship Id="rId9" Type="http://schemas.openxmlformats.org/officeDocument/2006/relationships/hyperlink" Target="https://www.google.com/maps/place/6&#176;58&apos;02.0%22S+110&#176;04&apos;40.3%22E/@-6.967223,110.0752861,17z/data=!3m1!4b1!4m4!3m3!8m2!3d-6.967223!4d110.077861?entry=ttu&amp;g_ep=EgoyMDI2MDIwMS4wIKXMDSoKLDEwMDc5MjA3MUgBUAM%3D" TargetMode="External"/><Relationship Id="rId10" Type="http://schemas.openxmlformats.org/officeDocument/2006/relationships/hyperlink" Target="https://www.google.com/maps?z=12&amp;t=m&amp;q=loc:-7.027926+110.105863" TargetMode="External"/><Relationship Id="rId11" Type="http://schemas.openxmlformats.org/officeDocument/2006/relationships/hyperlink" Target="https://www.google.com/maps/place/6&#176;55&apos;39.7%22S+110&#176;09&apos;27.9%22E/@-6.9277,110.1551841,17z/data=!3m1!4b1!4m4!3m3!8m2!3d-6.9277!4d110.157759?entry=ttu&amp;g_ep=EgoyMDI2MDExMy4wIKXMDSoKLDEwMDc5MjA3MUgBUAM%3D" TargetMode="External"/><Relationship Id="rId12" Type="http://schemas.openxmlformats.org/officeDocument/2006/relationships/hyperlink" Target="https://www.google.com/maps?z=12&amp;t=m&amp;q=loc:-6.924749+110.154084" TargetMode="External"/><Relationship Id="rId13" Type="http://schemas.openxmlformats.org/officeDocument/2006/relationships/hyperlink" Target="https://www.google.com/maps?z=12&amp;t=m&amp;q=loc:-6.957502+110.074079" TargetMode="External"/><Relationship Id="rId14" Type="http://schemas.openxmlformats.org/officeDocument/2006/relationships/hyperlink" Target="https://www.google.com/maps?z=12&amp;t=m&amp;q=loc:-6.977925+109.989168" TargetMode="External"/><Relationship Id="rId15" Type="http://schemas.openxmlformats.org/officeDocument/2006/relationships/hyperlink" Target="https://www.google.com/maps?z=12&amp;t=m&amp;q=loc:-6.945867+110.153544" TargetMode="External"/><Relationship Id="rId16" Type="http://schemas.openxmlformats.org/officeDocument/2006/relationships/hyperlink" Target="https://www.google.com/maps?z=12&amp;t=m&amp;q=loc:-6.995054+110.150966" TargetMode="External"/><Relationship Id="rId17" Type="http://schemas.openxmlformats.org/officeDocument/2006/relationships/hyperlink" Target="https://www.google.com/maps?z=12&amp;t=m&amp;q=loc:-6.899243+110.186910" TargetMode="External"/><Relationship Id="rId18" Type="http://schemas.openxmlformats.org/officeDocument/2006/relationships/hyperlink" Target="https://www.google.com/maps?z=12&amp;t=m&amp;q=loc:-6.927785+110.183065" TargetMode="External"/><Relationship Id="rId19" Type="http://schemas.openxmlformats.org/officeDocument/2006/relationships/hyperlink" Target="https://www.google.com/maps?z=12&amp;t=m&amp;q=loc:-6.990828+110.254690" TargetMode="External"/><Relationship Id="rId20" Type="http://schemas.openxmlformats.org/officeDocument/2006/relationships/hyperlink" Target="https://www.google.com/maps?z=12&amp;t=m&amp;q=loc:-6.928537+110.058435" TargetMode="External"/><Relationship Id="rId21" Type="http://schemas.openxmlformats.org/officeDocument/2006/relationships/hyperlink" Target="https://www.google.com/maps?z=12&amp;t=m&amp;q=loc:-6.964023+110.241089" TargetMode="External"/><Relationship Id="rId22" Type="http://schemas.openxmlformats.org/officeDocument/2006/relationships/hyperlink" Target="https://www.google.com/maps/place/6&#176;56&apos;58.3%22S+110&#176;14&apos;24.1%22E/@-6.949531,110.2374471,17z/data=!3m1!4b1!4m4!3m3!8m2!3d-6.949531!4d110.240022?entry=ttu&amp;g_ep=EgoyMDI2MDYyOS4wIKXMDSoASAFQAw%3D%3D" TargetMode="External"/><Relationship Id="rId23" Type="http://schemas.openxmlformats.org/officeDocument/2006/relationships/hyperlink" Target="https://www.google.com/maps?z=12&amp;t=m&amp;q=loc:-6.920520+110.203468" TargetMode="External"/><Relationship Id="rId24" Type="http://schemas.openxmlformats.org/officeDocument/2006/relationships/hyperlink" Target="https://www.google.com/maps/place/6&#176;57&apos;14.2%22S+110&#176;10&apos;29.0%22E/@-6.953941,110.1721411,17z/data=!3m1!4b1!4m4!3m3!8m2!3d-6.953941!4d110.174716?entry=ttu&amp;g_ep=EgoyMDI2MDcwNy4wIKXMDSoASAFQAw%3D%3D" TargetMode="External"/><Relationship Id="rId25" Type="http://schemas.openxmlformats.org/officeDocument/2006/relationships/hyperlink" Target="https://www.google.com/maps/place/6&#176;59&apos;19.5%22S+109&#176;59&apos;08.9%22E/@-6.98875,109.9832371,17z/data=!3m1!4b1!4m4!3m3!8m2!3d-6.98875!4d109.985812?entry=ttu&amp;g_ep=EgoyMDI2MDYyOS4wIKXMDSoASAFQAw%3D%3D" TargetMode="External"/><Relationship Id="rId26" Type="http://schemas.openxmlformats.org/officeDocument/2006/relationships/hyperlink" Target="https://www.google.com/maps?z=12&amp;t=m&amp;q=loc:-6.971223+110.090367" TargetMode="External"/><Relationship Id="rId27" Type="http://schemas.openxmlformats.org/officeDocument/2006/relationships/hyperlink" Target="https://www.google.com/maps/place/6&#176;56&apos;20.0%22S+110&#176;07&apos;29.6%22E/@-6.938877,110.1223221,17z/data=!3m1!4b1!4m4!3m3!8m2!3d-6.938877!4d110.124897?entry=ttu&amp;g_ep=EgoyMDI2MDcwOC4wIKXMDSoASAFQAw%3D%3D" TargetMode="External"/><Relationship Id="rId28" Type="http://schemas.openxmlformats.org/officeDocument/2006/relationships/hyperlink" Target="http://maps.google.com/maps?z=12&amp;t=m&amp;q=loc:-6.942429+110.253472" TargetMode="External"/><Relationship Id="rId29" Type="http://schemas.openxmlformats.org/officeDocument/2006/relationships/hyperlink" Target="https://www.google.com/maps?z=12&amp;t=m&amp;q=loc:-6.924772+110.183666" TargetMode="External"/><Relationship Id="rId30" Type="http://schemas.openxmlformats.org/officeDocument/2006/relationships/hyperlink" Target="https://www.google.com/maps?z=12&amp;t=m&amp;q=loc:-6.981893+110.073458" TargetMode="External"/><Relationship Id="rId31" Type="http://schemas.openxmlformats.org/officeDocument/2006/relationships/hyperlink" Target="http://google.com/maps?z=12&amp;t=m&amp;q=loc:-6.972847+110.059785" TargetMode="External"/><Relationship Id="rId32" Type="http://schemas.openxmlformats.org/officeDocument/2006/relationships/hyperlink" Target="https://www.google.com/maps/place/6&#176;57&apos;59.5%22S+110&#176;14&apos;47.6%22E/@-6.966538,110.2439671,17z/data=!3m1!4b1!4m4!3m3!8m2!3d-6.966538!4d110.246542?entry=ttu&amp;g_ep=EgoyMDI2MDYyOS4wIKXMDSoASAFQAw%3D%3D" TargetMode="External"/><Relationship Id="rId33" Type="http://schemas.openxmlformats.org/officeDocument/2006/relationships/hyperlink" Target="https://www.google.com/maps/place/7&#176;01&apos;29.2%22S+110&#176;01&apos;10.2%22E/@-7.02477,110.0169101,17z/data=!3m1!4b1!4m4!3m3!8m2!3d-7.02477!4d110.019485?entry=ttu&amp;g_ep=EgoyMDI2MDYyOS4wIKXMDSoASAFQAw%3D%3D" TargetMode="External"/><Relationship Id="rId34" Type="http://schemas.openxmlformats.org/officeDocument/2006/relationships/hyperlink" Target="http://google.com/maps?z=12&amp;t=m&amp;q=loc:-6.992719+110.128260" TargetMode="External"/><Relationship Id="rId35" Type="http://schemas.openxmlformats.org/officeDocument/2006/relationships/hyperlink" Target="https://www.google.com/maps?z=12&amp;t=m&amp;q=loc:-7.119953+109.962283" TargetMode="External"/><Relationship Id="rId36" Type="http://schemas.openxmlformats.org/officeDocument/2006/relationships/hyperlink" Target="https://www.google.com/maps?z=12&amp;t=m&amp;q=loc:-6.948692+110.105175" TargetMode="External"/><Relationship Id="rId37" Type="http://schemas.openxmlformats.org/officeDocument/2006/relationships/hyperlink" Target="https://www.google.com/maps/place/6&#176;56&apos;54.6%22S+110&#176;13&apos;25.5%22E/@-6.948507,110.2211771,17z/data=!3m1!4b1!4m4!3m3!8m2!3d-6.948507!4d110.223752?entry=ttu&amp;g_ep=EgoyMDI2MDYyOS4wIKXMDSoASAFQAw%3D%3D" TargetMode="External"/><Relationship Id="rId38" Type="http://schemas.openxmlformats.org/officeDocument/2006/relationships/hyperlink" Target="https://www.google.com/maps?z=12&amp;t=m&amp;q=loc:-6.937078+110.079561" TargetMode="External"/><Relationship Id="rId39" Type="http://schemas.openxmlformats.org/officeDocument/2006/relationships/hyperlink" Target="https://www.google.com/maps?z=12&amp;t=m&amp;q=loc:-6.935942+110.032642" TargetMode="External"/><Relationship Id="rId40" Type="http://schemas.openxmlformats.org/officeDocument/2006/relationships/hyperlink" Target="https://www.google.com/maps?z=12&amp;t=m&amp;q=loc:-7.079079+109.987101" TargetMode="External"/><Relationship Id="rId41" Type="http://schemas.openxmlformats.org/officeDocument/2006/relationships/hyperlink" Target="https://maps.app.goo.gl/dDbiyBFWvo1HA9sT8" TargetMode="External"/><Relationship Id="rId42" Type="http://schemas.openxmlformats.org/officeDocument/2006/relationships/hyperlink" Target="https://www.google.com/maps?z=12&amp;t=m&amp;q=loc:-6.980049+110.073777" TargetMode="External"/><Relationship Id="rId43" Type="http://schemas.openxmlformats.org/officeDocument/2006/relationships/hyperlink" Target="https://www.google.com/maps?z=12&amp;t=m&amp;q=loc:-6.954715+110.200846" TargetMode="External"/><Relationship Id="rId44" Type="http://schemas.openxmlformats.org/officeDocument/2006/relationships/hyperlink" Target="https://www.google.com/maps?z=12&amp;t=m&amp;q=loc:-6.935935+110.076394" TargetMode="External"/><Relationship Id="rId45" Type="http://schemas.openxmlformats.org/officeDocument/2006/relationships/hyperlink" Target="https://www.google.com/maps?z=12&amp;t=m&amp;q=loc:-6.967304+110.017917" TargetMode="External"/><Relationship Id="rId46" Type="http://schemas.openxmlformats.org/officeDocument/2006/relationships/hyperlink" Target="https://www.google.com/maps?z=12&amp;t=m&amp;q=loc:-6.923715+110.152227" TargetMode="External"/><Relationship Id="rId47" Type="http://schemas.openxmlformats.org/officeDocument/2006/relationships/hyperlink" Target="https://www.google.com/maps?z=12&amp;t=m&amp;q=loc:-6.928970+110.122535" TargetMode="External"/><Relationship Id="rId48" Type="http://schemas.openxmlformats.org/officeDocument/2006/relationships/hyperlink" Target="https://www.google.com/maps?z=12&amp;t=m&amp;q=loc:-6.906785+110.114196" TargetMode="External"/><Relationship Id="rId49" Type="http://schemas.openxmlformats.org/officeDocument/2006/relationships/hyperlink" Target="https://www.google.com/maps?z=12&amp;t=m&amp;q=loc:-6.956966+110.150238" TargetMode="External"/><Relationship Id="rId50" Type="http://schemas.openxmlformats.org/officeDocument/2006/relationships/hyperlink" Target="https://www.google.com/maps?z=12&amp;t=m&amp;q=loc:-7.007550+110.096400" TargetMode="External"/><Relationship Id="rId51" Type="http://schemas.openxmlformats.org/officeDocument/2006/relationships/hyperlink" Target="https://www.google.com/maps?z=12&amp;t=m&amp;q=loc:-6.973830+110.055713" TargetMode="External"/><Relationship Id="rId52" Type="http://schemas.openxmlformats.org/officeDocument/2006/relationships/hyperlink" Target="https://www.google.com/maps/place/7&#176;05&apos;09.1%22S+110&#176;02&apos;41.8%22E/@-7.085863,110.0423741,17z/data=!3m1!4b1!4m4!3m3!8m2!3d-7.085863!4d110.044949?entry=ttu&amp;g_ep=EgoyMDI2MDYyOS4wIKXMDSoASAFQAw%3D%3D" TargetMode="External"/><Relationship Id="rId53" Type="http://schemas.openxmlformats.org/officeDocument/2006/relationships/hyperlink" Target="https://www.google.com/maps/place/6&#176;58&apos;51.7%22S+109&#176;59&apos;05.0%22E/@-6.981015,109.9821451,17z/data=!3m1!4b1!4m4!3m3!8m2!3d-6.981015!4d109.98472?entry=ttu&amp;g_ep=EgoyMDI2MDYyOS4wIKXMDSoASAFQAw%3D%3D" TargetMode="External"/><Relationship Id="rId54" Type="http://schemas.openxmlformats.org/officeDocument/2006/relationships/hyperlink" Target="https://www.google.com/maps/place/6&#176;55&apos;51.0%22S+110&#176;09&apos;24.0%22E/@-6.930839,110.1540861,17z/data=!3m1!4b1!4m4!3m3!8m2!3d-6.930839!4d110.156661?entry=ttu&amp;g_ep=EgoyMDI2MDcwNy4wIKXMDSoASAFQAw%3D%3D" TargetMode="External"/><Relationship Id="rId55" Type="http://schemas.openxmlformats.org/officeDocument/2006/relationships/hyperlink" Target="https://www.google.com/maps?z=12&amp;t=m&amp;q=loc:-6.958125+110.099468" TargetMode="External"/><Relationship Id="rId56" Type="http://schemas.openxmlformats.org/officeDocument/2006/relationships/hyperlink" Target="https://www.google.com/maps?z=12&amp;t=m&amp;q=loc:-7.139930+110.005402" TargetMode="External"/><Relationship Id="rId57" Type="http://schemas.openxmlformats.org/officeDocument/2006/relationships/hyperlink" Target="https://www.google.com/maps?z=12&amp;t=m&amp;q=loc:-6.967080+110.013456" TargetMode="External"/><Relationship Id="rId58" Type="http://schemas.openxmlformats.org/officeDocument/2006/relationships/hyperlink" Target="https://www.google.com/maps/place/7&#176;06&apos;34.9%22S+110&#176;04&apos;50.7%22E/@-7.1096635,110.0753699,15.5z/data=!4m4!3m3!8m2!3d-7.109683!4d110.08075?entry=ttu&amp;g_ep=EgoyMDI2MDcwNy4wIKXMDSoASAFQAw%3D%3D" TargetMode="External"/><Relationship Id="rId59" Type="http://schemas.openxmlformats.org/officeDocument/2006/relationships/hyperlink" Target="https://www.google.com/maps?z=12&amp;t=m&amp;q=loc:-6.972395+110.060835" TargetMode="External"/><Relationship Id="rId60" Type="http://schemas.openxmlformats.org/officeDocument/2006/relationships/hyperlink" Target="https://www.google.com/maps/place/7&#176;02&apos;47.0%22S+110&#176;03&apos;59.0%22E/@-7.0715822,110.0242411,13z/data=!4m4!3m3!8m2!3d-7.046375!4d110.066396?entry=ttu&amp;g_ep=EgoyMDI2MDcwNy4wIKXMDSoASAFQAw%3D%3D" TargetMode="External"/><Relationship Id="rId61" Type="http://schemas.openxmlformats.org/officeDocument/2006/relationships/hyperlink" Target="https://www.google.com/maps?z=12&amp;t=m&amp;q=loc:-7.019104+110.054403" TargetMode="External"/><Relationship Id="rId62" Type="http://schemas.openxmlformats.org/officeDocument/2006/relationships/hyperlink" Target="https://www.google.com/maps?z=12&amp;t=m&amp;q=loc:-7.079573+110.129816" TargetMode="External"/><Relationship Id="rId63" Type="http://schemas.openxmlformats.org/officeDocument/2006/relationships/hyperlink" Target="http://google.com/maps?z=12&amp;t=m&amp;q=loc:-6.584906+110.680564" TargetMode="External"/><Relationship Id="rId6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aps.app.goo.gl/VqUvHGUte5q5FV2JA?g_st=ac" TargetMode="External"/><Relationship Id="rId2" Type="http://schemas.openxmlformats.org/officeDocument/2006/relationships/hyperlink" Target="https://maps.app.goo.gl/UbVRH4J64x1zy54x6?g_st=ac" TargetMode="External"/><Relationship Id="rId3" Type="http://schemas.openxmlformats.org/officeDocument/2006/relationships/hyperlink" Target="https://maps.app.goo.gl/fS2otZ2tHhtCfGpc9?g_st=ac" TargetMode="External"/><Relationship Id="rId4" Type="http://schemas.openxmlformats.org/officeDocument/2006/relationships/hyperlink" Target="https://maps.app.goo.gl/7zqjjRucn41fW8jy7?g_st=ac" TargetMode="External"/><Relationship Id="rId5" Type="http://schemas.openxmlformats.org/officeDocument/2006/relationships/hyperlink" Target="https://maps.app.goo.gl/rEM9Tfb7Pbuk3txV9?g_st=ac" TargetMode="External"/><Relationship Id="rId6" Type="http://schemas.openxmlformats.org/officeDocument/2006/relationships/hyperlink" Target="https://maps.app.goo.gl/QNqj5mLWdd4KqQEH6?g_st=ac" TargetMode="External"/><Relationship Id="rId7" Type="http://schemas.openxmlformats.org/officeDocument/2006/relationships/hyperlink" Target="https://maps.app.goo.gl/YyhTKr4USSez3QeEA?g_st=ac" TargetMode="External"/><Relationship Id="rId8" Type="http://schemas.openxmlformats.org/officeDocument/2006/relationships/hyperlink" Target="https://maps.app.goo.gl/UsFHMhBF4QMc2UQP9?g_st=ac" TargetMode="External"/><Relationship Id="rId9" Type="http://schemas.openxmlformats.org/officeDocument/2006/relationships/hyperlink" Target="https://maps.app.goo.gl/Fe5ouofaBAnyMNpy9?g_st=ac" TargetMode="External"/><Relationship Id="rId10" Type="http://schemas.openxmlformats.org/officeDocument/2006/relationships/hyperlink" Target="https://maps.app.goo.gl/HB3ei5jdVf2VNG978?g_st=ac" TargetMode="External"/><Relationship Id="rId11" Type="http://schemas.openxmlformats.org/officeDocument/2006/relationships/hyperlink" Target="https://maps.app.goo.gl/Jgbidrcn5TzAPwU6A" TargetMode="External"/><Relationship Id="rId12" Type="http://schemas.openxmlformats.org/officeDocument/2006/relationships/hyperlink" Target="https://maps.app.goo.gl/NFF7HAYNg6WWn3je6?g_st=ac" TargetMode="External"/><Relationship Id="rId13" Type="http://schemas.openxmlformats.org/officeDocument/2006/relationships/hyperlink" Target="https://maps.app.goo.gl/vpRA7mqKSDUXi4kN7?g_st=ac" TargetMode="External"/><Relationship Id="rId14" Type="http://schemas.openxmlformats.org/officeDocument/2006/relationships/hyperlink" Target="https://maps.app.goo.gl/UCmtsHnS8e7gSqC8A?g_st=ac" TargetMode="External"/><Relationship Id="rId15" Type="http://schemas.openxmlformats.org/officeDocument/2006/relationships/hyperlink" Target="https://maps.app.goo.gl/qsbRFsrGuhVfW9Rz5?g_st=ac" TargetMode="External"/><Relationship Id="rId16" Type="http://schemas.openxmlformats.org/officeDocument/2006/relationships/hyperlink" Target="https://maps.app.goo.gl/St8S6aaTLwXpkyHEA?g_st=ac" TargetMode="External"/><Relationship Id="rId17" Type="http://schemas.openxmlformats.org/officeDocument/2006/relationships/hyperlink" Target="https://maps.app.goo.gl/7dDPk3gKWrgRTB4G6?g_st=ac" TargetMode="External"/><Relationship Id="rId18" Type="http://schemas.openxmlformats.org/officeDocument/2006/relationships/hyperlink" Target="https://maps.app.goo.gl/4qr7spyp8hjpvt9Q6?g_st=ac" TargetMode="External"/><Relationship Id="rId19" Type="http://schemas.openxmlformats.org/officeDocument/2006/relationships/hyperlink" Target="https://maps.app.goo.gl/tzZfQKZWX5ZCKRgt9?g_st=ac" TargetMode="External"/><Relationship Id="rId20" Type="http://schemas.openxmlformats.org/officeDocument/2006/relationships/hyperlink" Target="https://maps.app.goo.gl/wZYax64wDeD4QdUP6?g_st=ac" TargetMode="External"/><Relationship Id="rId21" Type="http://schemas.openxmlformats.org/officeDocument/2006/relationships/hyperlink" Target="https://maps.app.goo.gl/6CeconKTS2x7KWuR7" TargetMode="External"/><Relationship Id="rId22" Type="http://schemas.openxmlformats.org/officeDocument/2006/relationships/hyperlink" Target="https://maps.app.goo.gl/zBxe15bgBCktGW5w9?g_st=ac" TargetMode="External"/><Relationship Id="rId23" Type="http://schemas.openxmlformats.org/officeDocument/2006/relationships/hyperlink" Target="https://maps.app.goo.gl/6Q6xrkJ9SfRjdjA7A?g_st=ac" TargetMode="External"/><Relationship Id="rId24" Type="http://schemas.openxmlformats.org/officeDocument/2006/relationships/hyperlink" Target="https://maps.app.goo.gl/s8rDu1gZQzNDkdhK8?g_st=ac" TargetMode="External"/><Relationship Id="rId25" Type="http://schemas.openxmlformats.org/officeDocument/2006/relationships/hyperlink" Target="https://maps.app.goo.gl/VZBedH6qtR5AbNBYA?g_st=ac" TargetMode="External"/><Relationship Id="rId26" Type="http://schemas.openxmlformats.org/officeDocument/2006/relationships/hyperlink" Target="https://maps.app.goo.gl/tEJQJFW143KUcctv5?g_st=ac" TargetMode="External"/><Relationship Id="rId27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127"/>
  <sheetViews>
    <sheetView showFormulas="false" showGridLines="true" showRowColHeaders="true" showZeros="true" rightToLeft="false" tabSelected="false" showOutlineSymbols="true" defaultGridColor="true" view="normal" topLeftCell="AI63" colorId="64" zoomScale="50" zoomScaleNormal="50" zoomScalePageLayoutView="100" workbookViewId="0">
      <selection pane="topLeft" activeCell="AK6" activeCellId="0" sqref="AK6"/>
    </sheetView>
  </sheetViews>
  <sheetFormatPr defaultColWidth="12.5078125" defaultRowHeight="15.75" customHeight="true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1.03"/>
    <col collapsed="false" customWidth="true" hidden="false" outlineLevel="0" max="3" min="3" style="1" width="24.75"/>
    <col collapsed="false" customWidth="true" hidden="false" outlineLevel="0" max="4" min="4" style="1" width="16.81"/>
    <col collapsed="false" customWidth="true" hidden="false" outlineLevel="0" max="5" min="5" style="1" width="27.71"/>
    <col collapsed="false" customWidth="true" hidden="false" outlineLevel="0" max="15" min="6" style="1" width="37.26"/>
    <col collapsed="false" customWidth="false" hidden="false" outlineLevel="0" max="31" min="16" style="1" width="12.5"/>
    <col collapsed="false" customWidth="true" hidden="false" outlineLevel="0" max="32" min="32" style="1" width="13.04"/>
    <col collapsed="false" customWidth="false" hidden="false" outlineLevel="0" max="16384" min="33" style="1" width="12.5"/>
  </cols>
  <sheetData>
    <row r="1" customFormat="false" ht="15.75" hidden="false" customHeight="true" outlineLevel="0" collapsed="false">
      <c r="A1" s="1" t="s">
        <v>0</v>
      </c>
      <c r="S1" s="1" t="s">
        <v>1</v>
      </c>
      <c r="AJ1" s="1" t="s">
        <v>2</v>
      </c>
    </row>
    <row r="2" customFormat="false" ht="15.75" hidden="false" customHeight="true" outlineLevel="0" collapsed="false">
      <c r="A2" s="2" t="s">
        <v>3</v>
      </c>
      <c r="B2" s="3" t="s">
        <v>4</v>
      </c>
      <c r="C2" s="4" t="s">
        <v>5</v>
      </c>
      <c r="D2" s="5" t="s">
        <v>6</v>
      </c>
      <c r="E2" s="4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S2" s="3" t="s">
        <v>4</v>
      </c>
      <c r="T2" s="4" t="s">
        <v>5</v>
      </c>
      <c r="U2" s="5" t="s">
        <v>6</v>
      </c>
      <c r="V2" s="4" t="s">
        <v>7</v>
      </c>
      <c r="W2" s="3" t="s">
        <v>8</v>
      </c>
      <c r="X2" s="3" t="s">
        <v>9</v>
      </c>
      <c r="Y2" s="3" t="s">
        <v>10</v>
      </c>
      <c r="Z2" s="3" t="s">
        <v>11</v>
      </c>
      <c r="AA2" s="3" t="s">
        <v>12</v>
      </c>
      <c r="AB2" s="3" t="s">
        <v>13</v>
      </c>
      <c r="AC2" s="3" t="s">
        <v>14</v>
      </c>
      <c r="AD2" s="3" t="s">
        <v>15</v>
      </c>
      <c r="AE2" s="3" t="s">
        <v>16</v>
      </c>
      <c r="AF2" s="3" t="s">
        <v>17</v>
      </c>
      <c r="AG2" s="3"/>
      <c r="AJ2" s="2" t="s">
        <v>3</v>
      </c>
      <c r="AK2" s="3" t="s">
        <v>4</v>
      </c>
      <c r="AL2" s="4" t="s">
        <v>5</v>
      </c>
      <c r="AM2" s="5" t="s">
        <v>6</v>
      </c>
      <c r="AN2" s="4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V2" s="3" t="s">
        <v>15</v>
      </c>
      <c r="AW2" s="3" t="s">
        <v>16</v>
      </c>
      <c r="AX2" s="3" t="s">
        <v>17</v>
      </c>
    </row>
    <row r="3" customFormat="false" ht="15.75" hidden="false" customHeight="true" outlineLevel="0" collapsed="false">
      <c r="A3" s="2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J3" s="2"/>
      <c r="AK3" s="3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customFormat="false" ht="15.75" hidden="false" customHeight="true" outlineLevel="0" collapsed="false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J4" s="2"/>
      <c r="AK4" s="3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customFormat="false" ht="15.75" hidden="false" customHeight="true" outlineLevel="0" collapsed="false">
      <c r="A5" s="6"/>
      <c r="B5" s="6"/>
      <c r="C5" s="6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S5" s="6"/>
      <c r="T5" s="6"/>
      <c r="U5" s="6"/>
      <c r="V5" s="7"/>
      <c r="W5" s="7"/>
      <c r="X5" s="8"/>
      <c r="Y5" s="8"/>
      <c r="Z5" s="8"/>
      <c r="AA5" s="8"/>
      <c r="AB5" s="8"/>
      <c r="AC5" s="8"/>
      <c r="AD5" s="8"/>
      <c r="AE5" s="8"/>
      <c r="AF5" s="8"/>
      <c r="AG5" s="8"/>
      <c r="AJ5" s="6"/>
      <c r="AK5" s="6"/>
      <c r="AL5" s="6"/>
      <c r="AM5" s="7"/>
      <c r="AN5" s="7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customFormat="false" ht="15.75" hidden="false" customHeight="true" outlineLevel="0" collapsed="false">
      <c r="A6" s="9"/>
      <c r="B6" s="10" t="s">
        <v>18</v>
      </c>
      <c r="C6" s="10" t="s">
        <v>19</v>
      </c>
      <c r="D6" s="10" t="s">
        <v>20</v>
      </c>
      <c r="E6" s="10" t="s">
        <v>21</v>
      </c>
      <c r="F6" s="11" t="s">
        <v>22</v>
      </c>
      <c r="G6" s="11" t="str">
        <f aca="false">VLOOKUP(D6,'DATABASE RO'!$B$3:$M$299,4,0)</f>
        <v>P257000002990</v>
      </c>
      <c r="H6" s="11" t="str">
        <f aca="false">VLOOKUP(D6,'DATABASE RO'!$B$3:$M$299,5,0)</f>
        <v>YES</v>
      </c>
      <c r="I6" s="11" t="str">
        <f aca="false">VLOOKUP(D6,'DATABASE RO'!$B$3:$M$299,6,0)</f>
        <v>DUKUH KARANGANYAR RT 003 RW 003 KEDAWUNG BANYUPUTIH RT 003/003 RT 000 /RW 000, Kedawung, Banyuputih, KABUPATEN, 51271</v>
      </c>
      <c r="J6" s="11" t="str">
        <f aca="false">VLOOKUP(D6,'DATABASE RO'!$B$3:$M$299,7,0)</f>
        <v>Kedawung</v>
      </c>
      <c r="K6" s="11" t="str">
        <f aca="false">VLOOKUP(D6,'DATABASE RO'!$B$3:$M$299,8,0)</f>
        <v>Banyuputih</v>
      </c>
      <c r="L6" s="11" t="str">
        <f aca="false">VLOOKUP(D6,'DATABASE RO'!$B$3:$M$299,9,0)</f>
        <v>TIDAK ADA</v>
      </c>
      <c r="M6" s="11" t="str">
        <f aca="false">VLOOKUP(D6,'DATABASE RO'!$B$3:$M$299,10,0)</f>
        <v>EXCELLENT</v>
      </c>
      <c r="N6" s="11"/>
      <c r="O6" s="11" t="str">
        <f aca="false">VLOOKUP(D6,'DATABASE RO'!$B$3:$M$299,12,0)</f>
        <v>0852 - 26826959</v>
      </c>
      <c r="S6" s="9" t="str">
        <f aca="false">B6</f>
        <v>P2</v>
      </c>
      <c r="T6" s="9" t="str">
        <f aca="false">C6</f>
        <v>KENDAL</v>
      </c>
      <c r="U6" s="9" t="str">
        <f aca="false">D6</f>
        <v>1057120231106521</v>
      </c>
      <c r="V6" s="9" t="str">
        <f aca="false">E6</f>
        <v>SUTARI</v>
      </c>
      <c r="W6" s="10"/>
      <c r="X6" s="11" t="str">
        <f aca="false">VLOOKUP(V6,'DATABASE RO'!$C$3:$M$185,3,0)</f>
        <v>P257000002990</v>
      </c>
      <c r="Y6" s="11" t="str">
        <f aca="false">VLOOKUP(V6,'DATABASE RO'!$C$3:$M$185,4,0)</f>
        <v>YES</v>
      </c>
      <c r="Z6" s="11" t="str">
        <f aca="false">VLOOKUP(V6,'DATABASE RO'!$C$3:$M$185,5,0)</f>
        <v>DUKUH KARANGANYAR RT 003 RW 003 KEDAWUNG BANYUPUTIH RT 003/003 RT 000 /RW 000, Kedawung, Banyuputih, KABUPATEN, 51271</v>
      </c>
      <c r="AA6" s="11" t="str">
        <f aca="false">VLOOKUP(V6,'DATABASE RO'!$C$3:$M$185,6,0)</f>
        <v>Kedawung</v>
      </c>
      <c r="AB6" s="11" t="str">
        <f aca="false">VLOOKUP(V6,'DATABASE RO'!$C$3:$M$185,7,0)</f>
        <v>Banyuputih</v>
      </c>
      <c r="AC6" s="11" t="str">
        <f aca="false">VLOOKUP(V6,'DATABASE RO'!$C$3:$M$185,8,0)</f>
        <v>TIDAK ADA</v>
      </c>
      <c r="AD6" s="11" t="str">
        <f aca="false">VLOOKUP(V6,'DATABASE RO'!$C$3:$M$185,9,0)</f>
        <v>EXCELLENT</v>
      </c>
      <c r="AE6" s="11"/>
      <c r="AF6" s="11" t="str">
        <f aca="false">VLOOKUP(V6,'DATABASE RO'!$C$3:$M$185,11,0)</f>
        <v>0852 - 26826959</v>
      </c>
      <c r="AG6" s="11"/>
      <c r="AJ6" s="9"/>
      <c r="AK6" s="10" t="str">
        <f aca="false">B6</f>
        <v>P2</v>
      </c>
      <c r="AL6" s="10" t="str">
        <f aca="false">C6</f>
        <v>KENDAL</v>
      </c>
      <c r="AM6" s="10" t="str">
        <f aca="false">D6</f>
        <v>1057120231106521</v>
      </c>
      <c r="AN6" s="10" t="str">
        <f aca="false">E6</f>
        <v>SUTARI</v>
      </c>
      <c r="AO6" s="10" t="str">
        <f aca="false">F6</f>
        <v>Konsumen Aktif M 0 - 6 Lunas</v>
      </c>
      <c r="AP6" s="11" t="str">
        <f aca="false">IFERROR(G6,X6)</f>
        <v>P257000002990</v>
      </c>
      <c r="AQ6" s="11" t="str">
        <f aca="false">IFERROR(H6,Y6)</f>
        <v>YES</v>
      </c>
      <c r="AR6" s="11" t="str">
        <f aca="false">IFERROR(I6,Z6)</f>
        <v>DUKUH KARANGANYAR RT 003 RW 003 KEDAWUNG BANYUPUTIH RT 003/003 RT 000 /RW 000, Kedawung, Banyuputih, KABUPATEN, 51271</v>
      </c>
      <c r="AS6" s="11" t="str">
        <f aca="false">IFERROR(J6,AA6)</f>
        <v>Kedawung</v>
      </c>
      <c r="AT6" s="11" t="str">
        <f aca="false">IFERROR(K6,AB6)</f>
        <v>Banyuputih</v>
      </c>
      <c r="AU6" s="11" t="str">
        <f aca="false">IFERROR(L6,AC6)</f>
        <v>TIDAK ADA</v>
      </c>
      <c r="AV6" s="11" t="str">
        <f aca="false">IFERROR(M6,AD6)</f>
        <v>EXCELLENT</v>
      </c>
      <c r="AW6" s="11" t="n">
        <f aca="false">IFERROR(N6,AE6)</f>
        <v>0</v>
      </c>
      <c r="AX6" s="11" t="str">
        <f aca="false">IFERROR(O6,AF6)</f>
        <v>0852 - 26826959</v>
      </c>
    </row>
    <row r="7" customFormat="false" ht="15.75" hidden="false" customHeight="true" outlineLevel="0" collapsed="false">
      <c r="A7" s="9" t="s">
        <v>1</v>
      </c>
      <c r="B7" s="10" t="s">
        <v>18</v>
      </c>
      <c r="C7" s="10" t="s">
        <v>19</v>
      </c>
      <c r="D7" s="10" t="s">
        <v>23</v>
      </c>
      <c r="E7" s="10" t="s">
        <v>24</v>
      </c>
      <c r="F7" s="11" t="s">
        <v>22</v>
      </c>
      <c r="G7" s="11" t="e">
        <f aca="false">VLOOKUP(D7,'DATABASE RO'!$B$3:$M$299,4,0)</f>
        <v>#N/A</v>
      </c>
      <c r="H7" s="11" t="e">
        <f aca="false">VLOOKUP(D7,'DATABASE RO'!$B$3:$M$299,5,0)</f>
        <v>#N/A</v>
      </c>
      <c r="I7" s="11" t="e">
        <f aca="false">VLOOKUP(D7,'DATABASE RO'!$B$3:$M$299,6,0)</f>
        <v>#N/A</v>
      </c>
      <c r="J7" s="11" t="e">
        <f aca="false">VLOOKUP(D7,'DATABASE RO'!$B$3:$M$299,7,0)</f>
        <v>#N/A</v>
      </c>
      <c r="K7" s="11" t="e">
        <f aca="false">VLOOKUP(D7,'DATABASE RO'!$B$3:$M$299,8,0)</f>
        <v>#N/A</v>
      </c>
      <c r="L7" s="11" t="e">
        <f aca="false">VLOOKUP(D7,'DATABASE RO'!$B$3:$M$299,9,0)</f>
        <v>#N/A</v>
      </c>
      <c r="M7" s="11" t="e">
        <f aca="false">VLOOKUP(D7,'DATABASE RO'!$B$3:$M$299,10,0)</f>
        <v>#N/A</v>
      </c>
      <c r="N7" s="11"/>
      <c r="O7" s="11" t="e">
        <f aca="false">VLOOKUP(D7,'DATABASE RO'!$B$3:$M$299,12,0)</f>
        <v>#N/A</v>
      </c>
      <c r="S7" s="9" t="str">
        <f aca="false">B7</f>
        <v>P2</v>
      </c>
      <c r="T7" s="9" t="str">
        <f aca="false">C7</f>
        <v>KENDAL</v>
      </c>
      <c r="U7" s="9" t="str">
        <f aca="false">D7</f>
        <v>1057120240206718</v>
      </c>
      <c r="V7" s="9" t="str">
        <f aca="false">E7</f>
        <v>IRFAUDIN</v>
      </c>
      <c r="W7" s="10"/>
      <c r="X7" s="11" t="e">
        <f aca="false">VLOOKUP(V7,'DATABASE RO'!$C$3:$M$185,3,0)</f>
        <v>#N/A</v>
      </c>
      <c r="Y7" s="11" t="e">
        <f aca="false">VLOOKUP(V7,'DATABASE RO'!$C$3:$M$185,4,0)</f>
        <v>#N/A</v>
      </c>
      <c r="Z7" s="11" t="e">
        <f aca="false">VLOOKUP(V7,'DATABASE RO'!$C$3:$M$185,5,0)</f>
        <v>#N/A</v>
      </c>
      <c r="AA7" s="11" t="e">
        <f aca="false">VLOOKUP(V7,'DATABASE RO'!$C$3:$M$185,6,0)</f>
        <v>#N/A</v>
      </c>
      <c r="AB7" s="11" t="e">
        <f aca="false">VLOOKUP(V7,'DATABASE RO'!$C$3:$M$185,7,0)</f>
        <v>#N/A</v>
      </c>
      <c r="AC7" s="11" t="e">
        <f aca="false">VLOOKUP(V7,'DATABASE RO'!$C$3:$M$185,8,0)</f>
        <v>#N/A</v>
      </c>
      <c r="AD7" s="11" t="e">
        <f aca="false">VLOOKUP(V7,'DATABASE RO'!$C$3:$M$185,9,0)</f>
        <v>#N/A</v>
      </c>
      <c r="AE7" s="11"/>
      <c r="AF7" s="11" t="e">
        <f aca="false">VLOOKUP(V7,'DATABASE RO'!$C$3:$M$185,11,0)</f>
        <v>#N/A</v>
      </c>
      <c r="AG7" s="11"/>
      <c r="AJ7" s="9" t="s">
        <v>1</v>
      </c>
      <c r="AK7" s="10" t="str">
        <f aca="false">B7</f>
        <v>P2</v>
      </c>
      <c r="AL7" s="10" t="str">
        <f aca="false">C7</f>
        <v>KENDAL</v>
      </c>
      <c r="AM7" s="10" t="str">
        <f aca="false">D7</f>
        <v>1057120240206718</v>
      </c>
      <c r="AN7" s="10" t="str">
        <f aca="false">E7</f>
        <v>IRFAUDIN</v>
      </c>
      <c r="AO7" s="10" t="str">
        <f aca="false">F7</f>
        <v>Konsumen Aktif M 0 - 6 Lunas</v>
      </c>
      <c r="AP7" s="11" t="e">
        <f aca="false">IFERROR(G7,X7)</f>
        <v>#N/A</v>
      </c>
      <c r="AQ7" s="11" t="e">
        <f aca="false">IFERROR(H7,Y7)</f>
        <v>#N/A</v>
      </c>
      <c r="AR7" s="11" t="e">
        <f aca="false">IFERROR(I7,Z7)</f>
        <v>#N/A</v>
      </c>
      <c r="AS7" s="11" t="e">
        <f aca="false">IFERROR(J7,AA7)</f>
        <v>#N/A</v>
      </c>
      <c r="AT7" s="11" t="e">
        <f aca="false">IFERROR(K7,AB7)</f>
        <v>#N/A</v>
      </c>
      <c r="AU7" s="11" t="e">
        <f aca="false">IFERROR(L7,AC7)</f>
        <v>#N/A</v>
      </c>
      <c r="AV7" s="11" t="e">
        <f aca="false">IFERROR(M7,AD7)</f>
        <v>#N/A</v>
      </c>
      <c r="AW7" s="11" t="n">
        <f aca="false">IFERROR(N7,AE7)</f>
        <v>0</v>
      </c>
      <c r="AX7" s="11" t="e">
        <f aca="false">IFERROR(O7,AF7)</f>
        <v>#N/A</v>
      </c>
    </row>
    <row r="8" customFormat="false" ht="15.75" hidden="false" customHeight="true" outlineLevel="0" collapsed="false">
      <c r="A8" s="9"/>
      <c r="B8" s="10" t="s">
        <v>18</v>
      </c>
      <c r="C8" s="10" t="s">
        <v>19</v>
      </c>
      <c r="D8" s="10" t="s">
        <v>25</v>
      </c>
      <c r="E8" s="10" t="s">
        <v>26</v>
      </c>
      <c r="F8" s="11" t="s">
        <v>22</v>
      </c>
      <c r="G8" s="11" t="str">
        <f aca="false">VLOOKUP(D8,'DATABASE RO'!$B$3:$M$299,4,0)</f>
        <v>P057A002039893</v>
      </c>
      <c r="H8" s="11" t="str">
        <f aca="false">VLOOKUP(D8,'DATABASE RO'!$B$3:$M$299,5,0)</f>
        <v>YES</v>
      </c>
      <c r="I8" s="11" t="str">
        <f aca="false">VLOOKUP(D8,'DATABASE RO'!$B$3:$M$299,6,0)</f>
        <v>PURBO RT 013 /RW 005, Purbo, Bawang, KAB-Batang, 51274</v>
      </c>
      <c r="J8" s="11" t="str">
        <f aca="false">VLOOKUP(D8,'DATABASE RO'!$B$3:$M$299,7,0)</f>
        <v>PURBO</v>
      </c>
      <c r="K8" s="11" t="str">
        <f aca="false">VLOOKUP(D8,'DATABASE RO'!$B$3:$M$299,8,0)</f>
        <v>BAWANG</v>
      </c>
      <c r="L8" s="11" t="str">
        <f aca="false">VLOOKUP(D8,'DATABASE RO'!$B$3:$M$299,9,0)</f>
        <v>google.com/maps?z=12&amp;t=m&amp;q=loc:-7.079575+109.934911</v>
      </c>
      <c r="M8" s="11" t="str">
        <f aca="false">VLOOKUP(D8,'DATABASE RO'!$B$3:$M$299,10,0)</f>
        <v>EXCELLENT</v>
      </c>
      <c r="N8" s="11"/>
      <c r="O8" s="11" t="n">
        <f aca="false">VLOOKUP(D8,'DATABASE RO'!$B$3:$M$299,12,0)</f>
        <v>895417316985</v>
      </c>
      <c r="S8" s="9" t="str">
        <f aca="false">B8</f>
        <v>P2</v>
      </c>
      <c r="T8" s="9" t="str">
        <f aca="false">C8</f>
        <v>KENDAL</v>
      </c>
      <c r="U8" s="9" t="str">
        <f aca="false">D8</f>
        <v>1057120251007882</v>
      </c>
      <c r="V8" s="9" t="str">
        <f aca="false">E8</f>
        <v>JURIYAH</v>
      </c>
      <c r="W8" s="10"/>
      <c r="X8" s="11" t="str">
        <f aca="false">VLOOKUP(V8,'DATABASE RO'!$C$3:$M$185,3,0)</f>
        <v>P057A002039893</v>
      </c>
      <c r="Y8" s="11" t="str">
        <f aca="false">VLOOKUP(V8,'DATABASE RO'!$C$3:$M$185,4,0)</f>
        <v>YES</v>
      </c>
      <c r="Z8" s="11" t="str">
        <f aca="false">VLOOKUP(V8,'DATABASE RO'!$C$3:$M$185,5,0)</f>
        <v>PURBO RT 013 /RW 005, Purbo, Bawang, KAB-Batang, 51274</v>
      </c>
      <c r="AA8" s="11" t="str">
        <f aca="false">VLOOKUP(V8,'DATABASE RO'!$C$3:$M$185,6,0)</f>
        <v>PURBO</v>
      </c>
      <c r="AB8" s="11" t="str">
        <f aca="false">VLOOKUP(V8,'DATABASE RO'!$C$3:$M$185,7,0)</f>
        <v>BAWANG</v>
      </c>
      <c r="AC8" s="11" t="str">
        <f aca="false">VLOOKUP(V8,'DATABASE RO'!$C$3:$M$185,8,0)</f>
        <v>google.com/maps?z=12&amp;t=m&amp;q=loc:-7.079575+109.934911</v>
      </c>
      <c r="AD8" s="11" t="str">
        <f aca="false">VLOOKUP(V8,'DATABASE RO'!$C$3:$M$185,9,0)</f>
        <v>EXCELLENT</v>
      </c>
      <c r="AE8" s="11"/>
      <c r="AF8" s="11" t="n">
        <f aca="false">VLOOKUP(V8,'DATABASE RO'!$C$3:$M$185,11,0)</f>
        <v>895417316985</v>
      </c>
      <c r="AG8" s="11"/>
      <c r="AJ8" s="9"/>
      <c r="AK8" s="10" t="str">
        <f aca="false">B8</f>
        <v>P2</v>
      </c>
      <c r="AL8" s="10" t="str">
        <f aca="false">C8</f>
        <v>KENDAL</v>
      </c>
      <c r="AM8" s="10" t="str">
        <f aca="false">D8</f>
        <v>1057120251007882</v>
      </c>
      <c r="AN8" s="10" t="str">
        <f aca="false">E8</f>
        <v>JURIYAH</v>
      </c>
      <c r="AO8" s="10" t="str">
        <f aca="false">F8</f>
        <v>Konsumen Aktif M 0 - 6 Lunas</v>
      </c>
      <c r="AP8" s="11" t="str">
        <f aca="false">IFERROR(G8,X8)</f>
        <v>P057A002039893</v>
      </c>
      <c r="AQ8" s="11" t="str">
        <f aca="false">IFERROR(H8,Y8)</f>
        <v>YES</v>
      </c>
      <c r="AR8" s="11" t="str">
        <f aca="false">IFERROR(I8,Z8)</f>
        <v>PURBO RT 013 /RW 005, Purbo, Bawang, KAB-Batang, 51274</v>
      </c>
      <c r="AS8" s="11" t="str">
        <f aca="false">IFERROR(J8,AA8)</f>
        <v>PURBO</v>
      </c>
      <c r="AT8" s="11" t="str">
        <f aca="false">IFERROR(K8,AB8)</f>
        <v>BAWANG</v>
      </c>
      <c r="AU8" s="11" t="str">
        <f aca="false">IFERROR(L8,AC8)</f>
        <v>google.com/maps?z=12&amp;t=m&amp;q=loc:-7.079575+109.934911</v>
      </c>
      <c r="AV8" s="11" t="str">
        <f aca="false">IFERROR(M8,AD8)</f>
        <v>EXCELLENT</v>
      </c>
      <c r="AW8" s="11" t="n">
        <f aca="false">IFERROR(N8,AE8)</f>
        <v>0</v>
      </c>
      <c r="AX8" s="11" t="n">
        <f aca="false">IFERROR(O8,AF8)</f>
        <v>895417316985</v>
      </c>
    </row>
    <row r="9" customFormat="false" ht="15.75" hidden="false" customHeight="true" outlineLevel="0" collapsed="false">
      <c r="A9" s="9"/>
      <c r="B9" s="10" t="s">
        <v>18</v>
      </c>
      <c r="C9" s="10" t="s">
        <v>19</v>
      </c>
      <c r="D9" s="10" t="s">
        <v>27</v>
      </c>
      <c r="E9" s="10" t="s">
        <v>28</v>
      </c>
      <c r="F9" s="11" t="s">
        <v>22</v>
      </c>
      <c r="G9" s="11" t="str">
        <f aca="false">VLOOKUP(D9,'DATABASE RO'!$B$3:$M$299,4,0)</f>
        <v>P19002060234</v>
      </c>
      <c r="H9" s="11" t="str">
        <f aca="false">VLOOKUP(D9,'DATABASE RO'!$B$3:$M$299,5,0)</f>
        <v>NO</v>
      </c>
      <c r="I9" s="11" t="str">
        <f aca="false">VLOOKUP(D9,'DATABASE RO'!$B$3:$M$299,6,0)</f>
        <v>WONOREJO RT 002/005 RT 000 /RW 000, Wonorejo, Kaliwungu, KABUPATEN, 51372</v>
      </c>
      <c r="J9" s="11" t="str">
        <f aca="false">VLOOKUP(D9,'DATABASE RO'!$B$3:$M$299,7,0)</f>
        <v>WONOREJO</v>
      </c>
      <c r="K9" s="11" t="str">
        <f aca="false">VLOOKUP(D9,'DATABASE RO'!$B$3:$M$299,8,0)</f>
        <v>KALIWUNGU</v>
      </c>
      <c r="L9" s="11" t="str">
        <f aca="false">VLOOKUP(D9,'DATABASE RO'!$B$3:$M$299,9,0)</f>
        <v>TIDAK ADA</v>
      </c>
      <c r="M9" s="11" t="str">
        <f aca="false">VLOOKUP(D9,'DATABASE RO'!$B$3:$M$299,10,0)</f>
        <v>GOOD</v>
      </c>
      <c r="N9" s="11"/>
      <c r="O9" s="11" t="str">
        <f aca="false">VLOOKUP(D9,'DATABASE RO'!$B$3:$M$299,12,0)</f>
        <v>TIDAK ADA</v>
      </c>
      <c r="S9" s="9" t="str">
        <f aca="false">B9</f>
        <v>P2</v>
      </c>
      <c r="T9" s="9" t="str">
        <f aca="false">C9</f>
        <v>KENDAL</v>
      </c>
      <c r="U9" s="9" t="str">
        <f aca="false">D9</f>
        <v>1061120250608474</v>
      </c>
      <c r="V9" s="9" t="str">
        <f aca="false">E9</f>
        <v>HADI KURNIAWAN</v>
      </c>
      <c r="W9" s="10"/>
      <c r="X9" s="11" t="str">
        <f aca="false">VLOOKUP(V9,'DATABASE RO'!$C$3:$M$185,3,0)</f>
        <v>P19002060234</v>
      </c>
      <c r="Y9" s="11" t="str">
        <f aca="false">VLOOKUP(V9,'DATABASE RO'!$C$3:$M$185,4,0)</f>
        <v>NO</v>
      </c>
      <c r="Z9" s="11" t="str">
        <f aca="false">VLOOKUP(V9,'DATABASE RO'!$C$3:$M$185,5,0)</f>
        <v>WONOREJO RT 002/005 RT 000 /RW 000, Wonorejo, Kaliwungu, KABUPATEN, 51372</v>
      </c>
      <c r="AA9" s="11" t="str">
        <f aca="false">VLOOKUP(V9,'DATABASE RO'!$C$3:$M$185,6,0)</f>
        <v>WONOREJO</v>
      </c>
      <c r="AB9" s="11" t="str">
        <f aca="false">VLOOKUP(V9,'DATABASE RO'!$C$3:$M$185,7,0)</f>
        <v>KALIWUNGU</v>
      </c>
      <c r="AC9" s="11" t="str">
        <f aca="false">VLOOKUP(V9,'DATABASE RO'!$C$3:$M$185,8,0)</f>
        <v>TIDAK ADA</v>
      </c>
      <c r="AD9" s="11" t="str">
        <f aca="false">VLOOKUP(V9,'DATABASE RO'!$C$3:$M$185,9,0)</f>
        <v>GOOD</v>
      </c>
      <c r="AE9" s="11"/>
      <c r="AF9" s="11" t="str">
        <f aca="false">VLOOKUP(V9,'DATABASE RO'!$C$3:$M$185,11,0)</f>
        <v>TIDAK ADA</v>
      </c>
      <c r="AG9" s="11"/>
      <c r="AJ9" s="9"/>
      <c r="AK9" s="10" t="str">
        <f aca="false">B9</f>
        <v>P2</v>
      </c>
      <c r="AL9" s="10" t="str">
        <f aca="false">C9</f>
        <v>KENDAL</v>
      </c>
      <c r="AM9" s="10" t="str">
        <f aca="false">D9</f>
        <v>1061120250608474</v>
      </c>
      <c r="AN9" s="10" t="str">
        <f aca="false">E9</f>
        <v>HADI KURNIAWAN</v>
      </c>
      <c r="AO9" s="10" t="str">
        <f aca="false">F9</f>
        <v>Konsumen Aktif M 0 - 6 Lunas</v>
      </c>
      <c r="AP9" s="11" t="str">
        <f aca="false">IFERROR(G9,X9)</f>
        <v>P19002060234</v>
      </c>
      <c r="AQ9" s="11" t="str">
        <f aca="false">IFERROR(H9,Y9)</f>
        <v>NO</v>
      </c>
      <c r="AR9" s="11" t="str">
        <f aca="false">IFERROR(I9,Z9)</f>
        <v>WONOREJO RT 002/005 RT 000 /RW 000, Wonorejo, Kaliwungu, KABUPATEN, 51372</v>
      </c>
      <c r="AS9" s="11" t="str">
        <f aca="false">IFERROR(J9,AA9)</f>
        <v>WONOREJO</v>
      </c>
      <c r="AT9" s="11" t="str">
        <f aca="false">IFERROR(K9,AB9)</f>
        <v>KALIWUNGU</v>
      </c>
      <c r="AU9" s="11" t="str">
        <f aca="false">IFERROR(L9,AC9)</f>
        <v>TIDAK ADA</v>
      </c>
      <c r="AV9" s="11" t="str">
        <f aca="false">IFERROR(M9,AD9)</f>
        <v>GOOD</v>
      </c>
      <c r="AW9" s="11" t="n">
        <f aca="false">IFERROR(N9,AE9)</f>
        <v>0</v>
      </c>
      <c r="AX9" s="11" t="str">
        <f aca="false">IFERROR(O9,AF9)</f>
        <v>TIDAK ADA</v>
      </c>
    </row>
    <row r="10" customFormat="false" ht="15.75" hidden="false" customHeight="true" outlineLevel="0" collapsed="false">
      <c r="A10" s="10"/>
      <c r="B10" s="10" t="s">
        <v>18</v>
      </c>
      <c r="C10" s="10" t="s">
        <v>19</v>
      </c>
      <c r="D10" s="10" t="s">
        <v>29</v>
      </c>
      <c r="E10" s="10" t="s">
        <v>30</v>
      </c>
      <c r="F10" s="11" t="s">
        <v>22</v>
      </c>
      <c r="G10" s="11" t="str">
        <f aca="false">VLOOKUP(D10,'DATABASE RO'!$B$3:$M$299,4,0)</f>
        <v>P408000001074</v>
      </c>
      <c r="H10" s="11" t="str">
        <f aca="false">VLOOKUP(D10,'DATABASE RO'!$B$3:$M$299,5,0)</f>
        <v>NO</v>
      </c>
      <c r="I10" s="11" t="str">
        <f aca="false">VLOOKUP(D10,'DATABASE RO'!$B$3:$M$299,6,0)</f>
        <v>PERUM BTN BLOK B NO.8 RT 002 /RW 010, Langenharjo, Kendal, KAB-Kendal, 51314</v>
      </c>
      <c r="J10" s="11" t="str">
        <f aca="false">VLOOKUP(D10,'DATABASE RO'!$B$3:$M$299,7,0)</f>
        <v>LANGENHARJO</v>
      </c>
      <c r="K10" s="11" t="str">
        <f aca="false">VLOOKUP(D10,'DATABASE RO'!$B$3:$M$299,8,0)</f>
        <v>KENDAL</v>
      </c>
      <c r="L10" s="11" t="str">
        <f aca="false">VLOOKUP(D10,'DATABASE RO'!$B$3:$M$299,9,0)</f>
        <v>google.com/maps?z=12&amp;t=m&amp;q=loc:-6.584906+110.680564</v>
      </c>
      <c r="M10" s="11" t="str">
        <f aca="false">VLOOKUP(D10,'DATABASE RO'!$B$3:$M$299,10,0)</f>
        <v>EXCELLENT</v>
      </c>
      <c r="N10" s="11"/>
      <c r="O10" s="11" t="str">
        <f aca="false">VLOOKUP(D10,'DATABASE RO'!$B$3:$M$299,12,0)</f>
        <v>TIDAK ADA</v>
      </c>
      <c r="P10" s="11"/>
      <c r="S10" s="9" t="str">
        <f aca="false">B10</f>
        <v>P2</v>
      </c>
      <c r="T10" s="9" t="str">
        <f aca="false">C10</f>
        <v>KENDAL</v>
      </c>
      <c r="U10" s="9" t="str">
        <f aca="false">D10</f>
        <v>1411120251008411</v>
      </c>
      <c r="V10" s="9" t="str">
        <f aca="false">E10</f>
        <v>PURWOTO</v>
      </c>
      <c r="W10" s="10"/>
      <c r="X10" s="11" t="str">
        <f aca="false">VLOOKUP(V10,'DATABASE RO'!$C$3:$M$185,3,0)</f>
        <v>P408000001074</v>
      </c>
      <c r="Y10" s="11" t="str">
        <f aca="false">VLOOKUP(V10,'DATABASE RO'!$C$3:$M$185,4,0)</f>
        <v>NO</v>
      </c>
      <c r="Z10" s="11" t="str">
        <f aca="false">VLOOKUP(V10,'DATABASE RO'!$C$3:$M$185,5,0)</f>
        <v>PERUM BTN BLOK B NO.8 RT 002 /RW 010, Langenharjo, Kendal, KAB-Kendal, 51314</v>
      </c>
      <c r="AA10" s="11" t="str">
        <f aca="false">VLOOKUP(V10,'DATABASE RO'!$C$3:$M$185,6,0)</f>
        <v>LANGENHARJO</v>
      </c>
      <c r="AB10" s="11" t="str">
        <f aca="false">VLOOKUP(V10,'DATABASE RO'!$C$3:$M$185,7,0)</f>
        <v>KENDAL</v>
      </c>
      <c r="AC10" s="11" t="str">
        <f aca="false">VLOOKUP(V10,'DATABASE RO'!$C$3:$M$185,8,0)</f>
        <v>google.com/maps?z=12&amp;t=m&amp;q=loc:-6.584906+110.680564</v>
      </c>
      <c r="AD10" s="11" t="str">
        <f aca="false">VLOOKUP(V10,'DATABASE RO'!$C$3:$M$185,9,0)</f>
        <v>EXCELLENT</v>
      </c>
      <c r="AE10" s="11"/>
      <c r="AF10" s="11" t="str">
        <f aca="false">VLOOKUP(V10,'DATABASE RO'!$C$3:$M$185,11,0)</f>
        <v>TIDAK ADA</v>
      </c>
      <c r="AG10" s="11"/>
      <c r="AJ10" s="10"/>
      <c r="AK10" s="10" t="str">
        <f aca="false">B10</f>
        <v>P2</v>
      </c>
      <c r="AL10" s="10" t="str">
        <f aca="false">C10</f>
        <v>KENDAL</v>
      </c>
      <c r="AM10" s="10" t="str">
        <f aca="false">D10</f>
        <v>1411120251008411</v>
      </c>
      <c r="AN10" s="10" t="str">
        <f aca="false">E10</f>
        <v>PURWOTO</v>
      </c>
      <c r="AO10" s="10" t="str">
        <f aca="false">F10</f>
        <v>Konsumen Aktif M 0 - 6 Lunas</v>
      </c>
      <c r="AP10" s="11" t="str">
        <f aca="false">IFERROR(G10,X10)</f>
        <v>P408000001074</v>
      </c>
      <c r="AQ10" s="11" t="str">
        <f aca="false">IFERROR(H10,Y10)</f>
        <v>NO</v>
      </c>
      <c r="AR10" s="11" t="str">
        <f aca="false">IFERROR(I10,Z10)</f>
        <v>PERUM BTN BLOK B NO.8 RT 002 /RW 010, Langenharjo, Kendal, KAB-Kendal, 51314</v>
      </c>
      <c r="AS10" s="11" t="str">
        <f aca="false">IFERROR(J10,AA10)</f>
        <v>LANGENHARJO</v>
      </c>
      <c r="AT10" s="11" t="str">
        <f aca="false">IFERROR(K10,AB10)</f>
        <v>KENDAL</v>
      </c>
      <c r="AU10" s="11" t="str">
        <f aca="false">IFERROR(L10,AC10)</f>
        <v>google.com/maps?z=12&amp;t=m&amp;q=loc:-6.584906+110.680564</v>
      </c>
      <c r="AV10" s="11" t="str">
        <f aca="false">IFERROR(M10,AD10)</f>
        <v>EXCELLENT</v>
      </c>
      <c r="AW10" s="11" t="n">
        <f aca="false">IFERROR(N10,AE10)</f>
        <v>0</v>
      </c>
      <c r="AX10" s="11" t="str">
        <f aca="false">IFERROR(O10,AF10)</f>
        <v>TIDAK ADA</v>
      </c>
    </row>
    <row r="11" customFormat="false" ht="15.75" hidden="false" customHeight="true" outlineLevel="0" collapsed="false">
      <c r="A11" s="9" t="s">
        <v>1</v>
      </c>
      <c r="B11" s="10" t="s">
        <v>18</v>
      </c>
      <c r="C11" s="10" t="s">
        <v>19</v>
      </c>
      <c r="D11" s="10" t="s">
        <v>31</v>
      </c>
      <c r="E11" s="10" t="s">
        <v>32</v>
      </c>
      <c r="F11" s="11" t="s">
        <v>22</v>
      </c>
      <c r="G11" s="11" t="e">
        <f aca="false">VLOOKUP(D11,'DATABASE RO'!$B$3:$M$299,4,0)</f>
        <v>#N/A</v>
      </c>
      <c r="H11" s="11" t="e">
        <f aca="false">VLOOKUP(D11,'DATABASE RO'!$B$3:$M$299,5,0)</f>
        <v>#N/A</v>
      </c>
      <c r="I11" s="11" t="e">
        <f aca="false">VLOOKUP(D11,'DATABASE RO'!$B$3:$M$299,6,0)</f>
        <v>#N/A</v>
      </c>
      <c r="J11" s="11" t="e">
        <f aca="false">VLOOKUP(D11,'DATABASE RO'!$B$3:$M$299,7,0)</f>
        <v>#N/A</v>
      </c>
      <c r="K11" s="11" t="e">
        <f aca="false">VLOOKUP(D11,'DATABASE RO'!$B$3:$M$299,8,0)</f>
        <v>#N/A</v>
      </c>
      <c r="L11" s="11" t="e">
        <f aca="false">VLOOKUP(D11,'DATABASE RO'!$B$3:$M$299,9,0)</f>
        <v>#N/A</v>
      </c>
      <c r="M11" s="11" t="e">
        <f aca="false">VLOOKUP(D11,'DATABASE RO'!$B$3:$M$299,10,0)</f>
        <v>#N/A</v>
      </c>
      <c r="N11" s="11"/>
      <c r="O11" s="11" t="e">
        <f aca="false">VLOOKUP(D11,'DATABASE RO'!$B$3:$M$299,12,0)</f>
        <v>#N/A</v>
      </c>
      <c r="P11" s="11"/>
      <c r="S11" s="9" t="str">
        <f aca="false">B11</f>
        <v>P2</v>
      </c>
      <c r="T11" s="9" t="str">
        <f aca="false">C11</f>
        <v>KENDAL</v>
      </c>
      <c r="U11" s="9" t="str">
        <f aca="false">D11</f>
        <v>1063120240104443</v>
      </c>
      <c r="V11" s="9" t="str">
        <f aca="false">E11</f>
        <v>Satoto</v>
      </c>
      <c r="W11" s="10"/>
      <c r="X11" s="11" t="e">
        <f aca="false">VLOOKUP(V11,'DATABASE RO'!$C$3:$M$185,3,0)</f>
        <v>#N/A</v>
      </c>
      <c r="Y11" s="11" t="e">
        <f aca="false">VLOOKUP(V11,'DATABASE RO'!$C$3:$M$185,4,0)</f>
        <v>#N/A</v>
      </c>
      <c r="Z11" s="11" t="e">
        <f aca="false">VLOOKUP(V11,'DATABASE RO'!$C$3:$M$185,5,0)</f>
        <v>#N/A</v>
      </c>
      <c r="AA11" s="11" t="e">
        <f aca="false">VLOOKUP(V11,'DATABASE RO'!$C$3:$M$185,6,0)</f>
        <v>#N/A</v>
      </c>
      <c r="AB11" s="11" t="e">
        <f aca="false">VLOOKUP(V11,'DATABASE RO'!$C$3:$M$185,7,0)</f>
        <v>#N/A</v>
      </c>
      <c r="AC11" s="11" t="e">
        <f aca="false">VLOOKUP(V11,'DATABASE RO'!$C$3:$M$185,8,0)</f>
        <v>#N/A</v>
      </c>
      <c r="AD11" s="11" t="e">
        <f aca="false">VLOOKUP(V11,'DATABASE RO'!$C$3:$M$185,9,0)</f>
        <v>#N/A</v>
      </c>
      <c r="AE11" s="11"/>
      <c r="AF11" s="11" t="e">
        <f aca="false">VLOOKUP(V11,'DATABASE RO'!$C$3:$M$185,11,0)</f>
        <v>#N/A</v>
      </c>
      <c r="AG11" s="11"/>
      <c r="AJ11" s="9" t="s">
        <v>1</v>
      </c>
      <c r="AK11" s="10" t="str">
        <f aca="false">B11</f>
        <v>P2</v>
      </c>
      <c r="AL11" s="10" t="str">
        <f aca="false">C11</f>
        <v>KENDAL</v>
      </c>
      <c r="AM11" s="10" t="str">
        <f aca="false">D11</f>
        <v>1063120240104443</v>
      </c>
      <c r="AN11" s="10" t="str">
        <f aca="false">E11</f>
        <v>Satoto</v>
      </c>
      <c r="AO11" s="10" t="str">
        <f aca="false">F11</f>
        <v>Konsumen Aktif M 0 - 6 Lunas</v>
      </c>
      <c r="AP11" s="11" t="e">
        <f aca="false">IFERROR(G11,X11)</f>
        <v>#N/A</v>
      </c>
      <c r="AQ11" s="11" t="e">
        <f aca="false">IFERROR(H11,Y11)</f>
        <v>#N/A</v>
      </c>
      <c r="AR11" s="11" t="e">
        <f aca="false">IFERROR(I11,Z11)</f>
        <v>#N/A</v>
      </c>
      <c r="AS11" s="11" t="e">
        <f aca="false">IFERROR(J11,AA11)</f>
        <v>#N/A</v>
      </c>
      <c r="AT11" s="11" t="e">
        <f aca="false">IFERROR(K11,AB11)</f>
        <v>#N/A</v>
      </c>
      <c r="AU11" s="11" t="e">
        <f aca="false">IFERROR(L11,AC11)</f>
        <v>#N/A</v>
      </c>
      <c r="AV11" s="11" t="e">
        <f aca="false">IFERROR(M11,AD11)</f>
        <v>#N/A</v>
      </c>
      <c r="AW11" s="11" t="n">
        <f aca="false">IFERROR(N11,AE11)</f>
        <v>0</v>
      </c>
      <c r="AX11" s="11" t="e">
        <f aca="false">IFERROR(O11,AF11)</f>
        <v>#N/A</v>
      </c>
    </row>
    <row r="12" customFormat="false" ht="15.75" hidden="false" customHeight="true" outlineLevel="0" collapsed="false">
      <c r="A12" s="9" t="s">
        <v>1</v>
      </c>
      <c r="B12" s="10" t="s">
        <v>18</v>
      </c>
      <c r="C12" s="10" t="s">
        <v>19</v>
      </c>
      <c r="D12" s="10" t="s">
        <v>33</v>
      </c>
      <c r="E12" s="10" t="s">
        <v>34</v>
      </c>
      <c r="F12" s="11" t="s">
        <v>22</v>
      </c>
      <c r="G12" s="11" t="e">
        <f aca="false">VLOOKUP(D12,'DATABASE RO'!$B$3:$M$299,4,0)</f>
        <v>#N/A</v>
      </c>
      <c r="H12" s="11" t="e">
        <f aca="false">VLOOKUP(D12,'DATABASE RO'!$B$3:$M$299,5,0)</f>
        <v>#N/A</v>
      </c>
      <c r="I12" s="11" t="e">
        <f aca="false">VLOOKUP(D12,'DATABASE RO'!$B$3:$M$299,6,0)</f>
        <v>#N/A</v>
      </c>
      <c r="J12" s="11" t="e">
        <f aca="false">VLOOKUP(D12,'DATABASE RO'!$B$3:$M$299,7,0)</f>
        <v>#N/A</v>
      </c>
      <c r="K12" s="11" t="e">
        <f aca="false">VLOOKUP(D12,'DATABASE RO'!$B$3:$M$299,8,0)</f>
        <v>#N/A</v>
      </c>
      <c r="L12" s="11" t="e">
        <f aca="false">VLOOKUP(D12,'DATABASE RO'!$B$3:$M$299,9,0)</f>
        <v>#N/A</v>
      </c>
      <c r="M12" s="11" t="e">
        <f aca="false">VLOOKUP(D12,'DATABASE RO'!$B$3:$M$299,10,0)</f>
        <v>#N/A</v>
      </c>
      <c r="N12" s="11"/>
      <c r="O12" s="11" t="e">
        <f aca="false">VLOOKUP(D12,'DATABASE RO'!$B$3:$M$299,12,0)</f>
        <v>#N/A</v>
      </c>
      <c r="P12" s="11"/>
      <c r="S12" s="9" t="str">
        <f aca="false">B12</f>
        <v>P2</v>
      </c>
      <c r="T12" s="9" t="str">
        <f aca="false">C12</f>
        <v>KENDAL</v>
      </c>
      <c r="U12" s="9" t="str">
        <f aca="false">D12</f>
        <v>1063120240304500</v>
      </c>
      <c r="V12" s="9" t="str">
        <f aca="false">E12</f>
        <v>NURHAYATI</v>
      </c>
      <c r="W12" s="10"/>
      <c r="X12" s="11" t="str">
        <f aca="false">VLOOKUP(V12,'DATABASE RO'!$C$3:$M$185,3,0)</f>
        <v>P19002049199                  </v>
      </c>
      <c r="Y12" s="11" t="str">
        <f aca="false">VLOOKUP(V12,'DATABASE RO'!$C$3:$M$185,4,0)</f>
        <v>YES</v>
      </c>
      <c r="Z12" s="11" t="str">
        <f aca="false">VLOOKUP(V12,'DATABASE RO'!$C$3:$M$185,5,0)</f>
        <v>PUCUNG KEREP DESA PESAREN RT 002 /RW 004, Pesaren, Sukorejo, KAB-Kendal, 51363</v>
      </c>
      <c r="AA12" s="11" t="str">
        <f aca="false">VLOOKUP(V12,'DATABASE RO'!$C$3:$M$185,6,0)</f>
        <v>Pesaren</v>
      </c>
      <c r="AB12" s="11" t="str">
        <f aca="false">VLOOKUP(V12,'DATABASE RO'!$C$3:$M$185,7,0)</f>
        <v>Sukorejo</v>
      </c>
      <c r="AC12" s="11" t="str">
        <f aca="false">VLOOKUP(V12,'DATABASE RO'!$C$3:$M$185,8,0)</f>
        <v>https://www.google.com/maps?z=12&amp;t=m&amp;q=loc:-7.139930+110.005402</v>
      </c>
      <c r="AD12" s="11" t="str">
        <f aca="false">VLOOKUP(V12,'DATABASE RO'!$C$3:$M$185,9,0)</f>
        <v>NORMAL</v>
      </c>
      <c r="AE12" s="11"/>
      <c r="AF12" s="11" t="str">
        <f aca="false">VLOOKUP(V12,'DATABASE RO'!$C$3:$M$185,11,0)</f>
        <v>0858 - 67822275</v>
      </c>
      <c r="AG12" s="11"/>
      <c r="AJ12" s="9" t="s">
        <v>1</v>
      </c>
      <c r="AK12" s="10" t="str">
        <f aca="false">B12</f>
        <v>P2</v>
      </c>
      <c r="AL12" s="10" t="str">
        <f aca="false">C12</f>
        <v>KENDAL</v>
      </c>
      <c r="AM12" s="10" t="str">
        <f aca="false">D12</f>
        <v>1063120240304500</v>
      </c>
      <c r="AN12" s="10" t="str">
        <f aca="false">E12</f>
        <v>NURHAYATI</v>
      </c>
      <c r="AO12" s="10" t="str">
        <f aca="false">F12</f>
        <v>Konsumen Aktif M 0 - 6 Lunas</v>
      </c>
      <c r="AP12" s="11" t="str">
        <f aca="false">IFERROR(G12,X12)</f>
        <v>P19002049199                  </v>
      </c>
      <c r="AQ12" s="11" t="str">
        <f aca="false">IFERROR(H12,Y12)</f>
        <v>YES</v>
      </c>
      <c r="AR12" s="11" t="str">
        <f aca="false">IFERROR(I12,Z12)</f>
        <v>PUCUNG KEREP DESA PESAREN RT 002 /RW 004, Pesaren, Sukorejo, KAB-Kendal, 51363</v>
      </c>
      <c r="AS12" s="11" t="str">
        <f aca="false">IFERROR(J12,AA12)</f>
        <v>Pesaren</v>
      </c>
      <c r="AT12" s="11" t="str">
        <f aca="false">IFERROR(K12,AB12)</f>
        <v>Sukorejo</v>
      </c>
      <c r="AU12" s="11" t="str">
        <f aca="false">IFERROR(L12,AC12)</f>
        <v>https://www.google.com/maps?z=12&amp;t=m&amp;q=loc:-7.139930+110.005402</v>
      </c>
      <c r="AV12" s="11" t="str">
        <f aca="false">IFERROR(M12,AD12)</f>
        <v>NORMAL</v>
      </c>
      <c r="AW12" s="11" t="n">
        <f aca="false">IFERROR(N12,AE12)</f>
        <v>0</v>
      </c>
      <c r="AX12" s="11" t="str">
        <f aca="false">IFERROR(O12,AF12)</f>
        <v>0858 - 67822275</v>
      </c>
    </row>
    <row r="13" customFormat="false" ht="15.75" hidden="false" customHeight="true" outlineLevel="0" collapsed="false">
      <c r="A13" s="10"/>
      <c r="B13" s="10" t="s">
        <v>18</v>
      </c>
      <c r="C13" s="10" t="s">
        <v>19</v>
      </c>
      <c r="D13" s="10" t="s">
        <v>35</v>
      </c>
      <c r="E13" s="10" t="s">
        <v>36</v>
      </c>
      <c r="F13" s="11" t="s">
        <v>22</v>
      </c>
      <c r="G13" s="11" t="str">
        <f aca="false">VLOOKUP(D13,'DATABASE RO'!$B$3:$M$299,4,0)</f>
        <v>CUS063120211105567            </v>
      </c>
      <c r="H13" s="11" t="e">
        <f aca="false">VLOOKUP(D13,'DATABASE RO'!$B$3:$M$299,5,0)</f>
        <v>#N/A</v>
      </c>
      <c r="I13" s="11" t="str">
        <f aca="false">VLOOKUP(D13,'DATABASE RO'!$B$3:$M$299,6,0)</f>
        <v>BULUGEDE RT 001 /RW 002, Bulugede, Patebon, KAB-Kendal, 51351</v>
      </c>
      <c r="J13" s="11" t="str">
        <f aca="false">VLOOKUP(D13,'DATABASE RO'!$B$3:$M$299,7,0)</f>
        <v>Bulugede</v>
      </c>
      <c r="K13" s="11" t="str">
        <f aca="false">VLOOKUP(D13,'DATABASE RO'!$B$3:$M$299,8,0)</f>
        <v>Patebon</v>
      </c>
      <c r="L13" s="11" t="e">
        <f aca="false">VLOOKUP(D13,'DATABASE RO'!$B$3:$M$299,9,0)</f>
        <v>#N/A</v>
      </c>
      <c r="M13" s="11" t="str">
        <f aca="false">VLOOKUP(D13,'DATABASE RO'!$B$3:$M$299,10,0)</f>
        <v>EXCELLENT</v>
      </c>
      <c r="N13" s="11"/>
      <c r="O13" s="11" t="str">
        <f aca="false">VLOOKUP(D13,'DATABASE RO'!$B$3:$M$299,12,0)</f>
        <v>0895 - 630559311</v>
      </c>
      <c r="P13" s="11"/>
      <c r="S13" s="9" t="str">
        <f aca="false">B13</f>
        <v>P2</v>
      </c>
      <c r="T13" s="9" t="str">
        <f aca="false">C13</f>
        <v>KENDAL</v>
      </c>
      <c r="U13" s="9" t="str">
        <f aca="false">D13</f>
        <v>1063120240904763</v>
      </c>
      <c r="V13" s="9" t="str">
        <f aca="false">E13</f>
        <v>Imam khoirudin</v>
      </c>
      <c r="W13" s="10"/>
      <c r="X13" s="11" t="str">
        <f aca="false">VLOOKUP(V13,'DATABASE RO'!$C$3:$M$185,3,0)</f>
        <v>CUS063120211105567            </v>
      </c>
      <c r="Y13" s="11" t="e">
        <f aca="false">VLOOKUP(V13,'DATABASE RO'!$C$3:$M$185,4,0)</f>
        <v>#N/A</v>
      </c>
      <c r="Z13" s="11" t="str">
        <f aca="false">VLOOKUP(V13,'DATABASE RO'!$C$3:$M$185,5,0)</f>
        <v>BULUGEDE RT 001 /RW 002, Bulugede, Patebon, KAB-Kendal, 51351</v>
      </c>
      <c r="AA13" s="11" t="str">
        <f aca="false">VLOOKUP(V13,'DATABASE RO'!$C$3:$M$185,6,0)</f>
        <v>Bulugede</v>
      </c>
      <c r="AB13" s="11" t="str">
        <f aca="false">VLOOKUP(V13,'DATABASE RO'!$C$3:$M$185,7,0)</f>
        <v>Patebon</v>
      </c>
      <c r="AC13" s="11" t="e">
        <f aca="false">VLOOKUP(V13,'DATABASE RO'!$C$3:$M$185,8,0)</f>
        <v>#N/A</v>
      </c>
      <c r="AD13" s="11" t="str">
        <f aca="false">VLOOKUP(V13,'DATABASE RO'!$C$3:$M$185,9,0)</f>
        <v>EXCELLENT</v>
      </c>
      <c r="AE13" s="11"/>
      <c r="AF13" s="11" t="str">
        <f aca="false">VLOOKUP(V13,'DATABASE RO'!$C$3:$M$185,11,0)</f>
        <v>0895 - 630559311</v>
      </c>
      <c r="AG13" s="11"/>
      <c r="AJ13" s="10"/>
      <c r="AK13" s="10" t="str">
        <f aca="false">B13</f>
        <v>P2</v>
      </c>
      <c r="AL13" s="10" t="str">
        <f aca="false">C13</f>
        <v>KENDAL</v>
      </c>
      <c r="AM13" s="10" t="str">
        <f aca="false">D13</f>
        <v>1063120240904763</v>
      </c>
      <c r="AN13" s="10" t="str">
        <f aca="false">E13</f>
        <v>Imam khoirudin</v>
      </c>
      <c r="AO13" s="10" t="str">
        <f aca="false">F13</f>
        <v>Konsumen Aktif M 0 - 6 Lunas</v>
      </c>
      <c r="AP13" s="11" t="str">
        <f aca="false">IFERROR(G13,X13)</f>
        <v>CUS063120211105567            </v>
      </c>
      <c r="AQ13" s="11" t="e">
        <f aca="false">IFERROR(H13,Y13)</f>
        <v>#N/A</v>
      </c>
      <c r="AR13" s="11" t="str">
        <f aca="false">IFERROR(I13,Z13)</f>
        <v>BULUGEDE RT 001 /RW 002, Bulugede, Patebon, KAB-Kendal, 51351</v>
      </c>
      <c r="AS13" s="11" t="str">
        <f aca="false">IFERROR(J13,AA13)</f>
        <v>Bulugede</v>
      </c>
      <c r="AT13" s="11" t="str">
        <f aca="false">IFERROR(K13,AB13)</f>
        <v>Patebon</v>
      </c>
      <c r="AU13" s="11" t="e">
        <f aca="false">IFERROR(L13,AC13)</f>
        <v>#N/A</v>
      </c>
      <c r="AV13" s="11" t="str">
        <f aca="false">IFERROR(M13,AD13)</f>
        <v>EXCELLENT</v>
      </c>
      <c r="AW13" s="11" t="n">
        <f aca="false">IFERROR(N13,AE13)</f>
        <v>0</v>
      </c>
      <c r="AX13" s="11" t="str">
        <f aca="false">IFERROR(O13,AF13)</f>
        <v>0895 - 630559311</v>
      </c>
    </row>
    <row r="14" customFormat="false" ht="15.75" hidden="false" customHeight="true" outlineLevel="0" collapsed="false">
      <c r="A14" s="10"/>
      <c r="B14" s="10" t="s">
        <v>18</v>
      </c>
      <c r="C14" s="10" t="s">
        <v>19</v>
      </c>
      <c r="D14" s="10" t="s">
        <v>37</v>
      </c>
      <c r="E14" s="10" t="s">
        <v>38</v>
      </c>
      <c r="F14" s="11" t="s">
        <v>22</v>
      </c>
      <c r="G14" s="11" t="str">
        <f aca="false">VLOOKUP(D14,'DATABASE RO'!$B$3:$M$299,4,0)</f>
        <v>CUS063120231107843            </v>
      </c>
      <c r="H14" s="11" t="str">
        <f aca="false">VLOOKUP(D14,'DATABASE RO'!$B$3:$M$299,5,0)</f>
        <v>YES</v>
      </c>
      <c r="I14" s="11" t="str">
        <f aca="false">VLOOKUP(D14,'DATABASE RO'!$B$3:$M$299,6,0)</f>
        <v>DK PONGOL SARI RT 005 /RW 002, Madugowongjati, Gringsing, KAB-Batang, 51281</v>
      </c>
      <c r="J14" s="11" t="str">
        <f aca="false">VLOOKUP(D14,'DATABASE RO'!$B$3:$M$299,7,0)</f>
        <v>Madugowongjati</v>
      </c>
      <c r="K14" s="11" t="str">
        <f aca="false">VLOOKUP(D14,'DATABASE RO'!$B$3:$M$299,8,0)</f>
        <v>Gringsing</v>
      </c>
      <c r="L14" s="11" t="str">
        <f aca="false">VLOOKUP(D14,'DATABASE RO'!$B$3:$M$299,9,0)</f>
        <v>https://www.google.com/maps/place/6%C2%B059'19.5%22S+109%C2%B059'08.9%22E/@-6.98875,109.9832371,17z/data=!3m1!4b1!4m4!3m3!8m2!3d-6.98875!4d109.985812?entry=ttu&amp;g_ep=EgoyMDI2MDYyOS4wIKXMDSoASAFQAw%3D%3D</v>
      </c>
      <c r="M14" s="11" t="str">
        <f aca="false">VLOOKUP(D14,'DATABASE RO'!$B$3:$M$299,10,0)</f>
        <v>EXCELLENT</v>
      </c>
      <c r="N14" s="11"/>
      <c r="O14" s="11" t="str">
        <f aca="false">VLOOKUP(D14,'DATABASE RO'!$B$3:$M$299,12,0)</f>
        <v>0857 - 02254450</v>
      </c>
      <c r="P14" s="11"/>
      <c r="S14" s="9" t="str">
        <f aca="false">B14</f>
        <v>P2</v>
      </c>
      <c r="T14" s="9" t="str">
        <f aca="false">C14</f>
        <v>KENDAL</v>
      </c>
      <c r="U14" s="9" t="str">
        <f aca="false">D14</f>
        <v>1063120241004777</v>
      </c>
      <c r="V14" s="9" t="str">
        <f aca="false">E14</f>
        <v>ACHMAD CHAIRUL ANAM</v>
      </c>
      <c r="W14" s="10"/>
      <c r="X14" s="11" t="str">
        <f aca="false">VLOOKUP(V14,'DATABASE RO'!$C$3:$M$185,3,0)</f>
        <v>CUS063120231107843            </v>
      </c>
      <c r="Y14" s="11" t="str">
        <f aca="false">VLOOKUP(V14,'DATABASE RO'!$C$3:$M$185,4,0)</f>
        <v>YES</v>
      </c>
      <c r="Z14" s="11" t="str">
        <f aca="false">VLOOKUP(V14,'DATABASE RO'!$C$3:$M$185,5,0)</f>
        <v>DK PONGOL SARI RT 005 /RW 002, Madugowongjati, Gringsing, KAB-Batang, 51281</v>
      </c>
      <c r="AA14" s="11" t="str">
        <f aca="false">VLOOKUP(V14,'DATABASE RO'!$C$3:$M$185,6,0)</f>
        <v>Madugowongjati</v>
      </c>
      <c r="AB14" s="11" t="str">
        <f aca="false">VLOOKUP(V14,'DATABASE RO'!$C$3:$M$185,7,0)</f>
        <v>Gringsing</v>
      </c>
      <c r="AC14" s="11" t="str">
        <f aca="false">VLOOKUP(V14,'DATABASE RO'!$C$3:$M$185,8,0)</f>
        <v>https://www.google.com/maps/place/6%C2%B059'19.5%22S+109%C2%B059'08.9%22E/@-6.98875,109.9832371,17z/data=!3m1!4b1!4m4!3m3!8m2!3d-6.98875!4d109.985812?entry=ttu&amp;g_ep=EgoyMDI2MDYyOS4wIKXMDSoASAFQAw%3D%3D</v>
      </c>
      <c r="AD14" s="11" t="str">
        <f aca="false">VLOOKUP(V14,'DATABASE RO'!$C$3:$M$185,9,0)</f>
        <v>EXCELLENT</v>
      </c>
      <c r="AE14" s="11"/>
      <c r="AF14" s="11" t="str">
        <f aca="false">VLOOKUP(V14,'DATABASE RO'!$C$3:$M$185,11,0)</f>
        <v>0857 - 02254450</v>
      </c>
      <c r="AG14" s="11"/>
      <c r="AJ14" s="10"/>
      <c r="AK14" s="10" t="str">
        <f aca="false">B14</f>
        <v>P2</v>
      </c>
      <c r="AL14" s="10" t="str">
        <f aca="false">C14</f>
        <v>KENDAL</v>
      </c>
      <c r="AM14" s="10" t="str">
        <f aca="false">D14</f>
        <v>1063120241004777</v>
      </c>
      <c r="AN14" s="10" t="str">
        <f aca="false">E14</f>
        <v>ACHMAD CHAIRUL ANAM</v>
      </c>
      <c r="AO14" s="10" t="str">
        <f aca="false">F14</f>
        <v>Konsumen Aktif M 0 - 6 Lunas</v>
      </c>
      <c r="AP14" s="11" t="str">
        <f aca="false">IFERROR(G14,X14)</f>
        <v>CUS063120231107843            </v>
      </c>
      <c r="AQ14" s="11" t="str">
        <f aca="false">IFERROR(H14,Y14)</f>
        <v>YES</v>
      </c>
      <c r="AR14" s="11" t="str">
        <f aca="false">IFERROR(I14,Z14)</f>
        <v>DK PONGOL SARI RT 005 /RW 002, Madugowongjati, Gringsing, KAB-Batang, 51281</v>
      </c>
      <c r="AS14" s="11" t="str">
        <f aca="false">IFERROR(J14,AA14)</f>
        <v>Madugowongjati</v>
      </c>
      <c r="AT14" s="11" t="str">
        <f aca="false">IFERROR(K14,AB14)</f>
        <v>Gringsing</v>
      </c>
      <c r="AU14" s="11" t="str">
        <f aca="false">IFERROR(L14,AC14)</f>
        <v>https://www.google.com/maps/place/6%C2%B059'19.5%22S+109%C2%B059'08.9%22E/@-6.98875,109.9832371,17z/data=!3m1!4b1!4m4!3m3!8m2!3d-6.98875!4d109.985812?entry=ttu&amp;g_ep=EgoyMDI2MDYyOS4wIKXMDSoASAFQAw%3D%3D</v>
      </c>
      <c r="AV14" s="11" t="str">
        <f aca="false">IFERROR(M14,AD14)</f>
        <v>EXCELLENT</v>
      </c>
      <c r="AW14" s="11" t="n">
        <f aca="false">IFERROR(N14,AE14)</f>
        <v>0</v>
      </c>
      <c r="AX14" s="11" t="str">
        <f aca="false">IFERROR(O14,AF14)</f>
        <v>0857 - 02254450</v>
      </c>
    </row>
    <row r="15" customFormat="false" ht="15.75" hidden="false" customHeight="true" outlineLevel="0" collapsed="false">
      <c r="A15" s="10"/>
      <c r="B15" s="10" t="s">
        <v>18</v>
      </c>
      <c r="C15" s="10" t="s">
        <v>19</v>
      </c>
      <c r="D15" s="10" t="s">
        <v>39</v>
      </c>
      <c r="E15" s="10" t="s">
        <v>40</v>
      </c>
      <c r="F15" s="11" t="s">
        <v>22</v>
      </c>
      <c r="G15" s="11" t="str">
        <f aca="false">VLOOKUP(D15,'DATABASE RO'!$B$3:$M$299,4,0)</f>
        <v>P091A002037332                </v>
      </c>
      <c r="H15" s="11" t="str">
        <f aca="false">VLOOKUP(D15,'DATABASE RO'!$B$3:$M$299,5,0)</f>
        <v>YES</v>
      </c>
      <c r="I15" s="11" t="str">
        <f aca="false">VLOOKUP(D15,'DATABASE RO'!$B$3:$M$299,6,0)</f>
        <v>Ngasinan RT 009 /RW 003, Ngasinan, Weleri, KAB-Kendal, 51355</v>
      </c>
      <c r="J15" s="11" t="str">
        <f aca="false">VLOOKUP(D15,'DATABASE RO'!$B$3:$M$299,7,0)</f>
        <v>Ngasinan</v>
      </c>
      <c r="K15" s="11" t="str">
        <f aca="false">VLOOKUP(D15,'DATABASE RO'!$B$3:$M$299,8,0)</f>
        <v>Weleri</v>
      </c>
      <c r="L15" s="11" t="str">
        <f aca="false">VLOOKUP(D15,'DATABASE RO'!$B$3:$M$299,9,0)</f>
        <v>https://www.google.com/maps?z=12&amp;t=m&amp;q=loc:-6.971223+110.090367</v>
      </c>
      <c r="M15" s="11" t="str">
        <f aca="false">VLOOKUP(D15,'DATABASE RO'!$B$3:$M$299,10,0)</f>
        <v>EXCELLENT</v>
      </c>
      <c r="N15" s="11"/>
      <c r="O15" s="11" t="str">
        <f aca="false">VLOOKUP(D15,'DATABASE RO'!$B$3:$M$299,12,0)</f>
        <v>0813 - 30005452</v>
      </c>
      <c r="P15" s="11"/>
      <c r="S15" s="9" t="str">
        <f aca="false">B15</f>
        <v>P2</v>
      </c>
      <c r="T15" s="9" t="str">
        <f aca="false">C15</f>
        <v>KENDAL</v>
      </c>
      <c r="U15" s="9" t="str">
        <f aca="false">D15</f>
        <v>1063120241004791</v>
      </c>
      <c r="V15" s="9" t="str">
        <f aca="false">E15</f>
        <v>HERMANTO</v>
      </c>
      <c r="W15" s="10"/>
      <c r="X15" s="11" t="str">
        <f aca="false">VLOOKUP(V15,'DATABASE RO'!$C$3:$M$185,3,0)</f>
        <v>P091A002037332                </v>
      </c>
      <c r="Y15" s="11" t="str">
        <f aca="false">VLOOKUP(V15,'DATABASE RO'!$C$3:$M$185,4,0)</f>
        <v>YES</v>
      </c>
      <c r="Z15" s="11" t="str">
        <f aca="false">VLOOKUP(V15,'DATABASE RO'!$C$3:$M$185,5,0)</f>
        <v>Ngasinan RT 009 /RW 003, Ngasinan, Weleri, KAB-Kendal, 51355</v>
      </c>
      <c r="AA15" s="11" t="str">
        <f aca="false">VLOOKUP(V15,'DATABASE RO'!$C$3:$M$185,6,0)</f>
        <v>Ngasinan</v>
      </c>
      <c r="AB15" s="11" t="str">
        <f aca="false">VLOOKUP(V15,'DATABASE RO'!$C$3:$M$185,7,0)</f>
        <v>Weleri</v>
      </c>
      <c r="AC15" s="11" t="str">
        <f aca="false">VLOOKUP(V15,'DATABASE RO'!$C$3:$M$185,8,0)</f>
        <v>https://www.google.com/maps?z=12&amp;t=m&amp;q=loc:-6.971223+110.090367</v>
      </c>
      <c r="AD15" s="11" t="str">
        <f aca="false">VLOOKUP(V15,'DATABASE RO'!$C$3:$M$185,9,0)</f>
        <v>EXCELLENT</v>
      </c>
      <c r="AE15" s="11"/>
      <c r="AF15" s="11" t="str">
        <f aca="false">VLOOKUP(V15,'DATABASE RO'!$C$3:$M$185,11,0)</f>
        <v>0813 - 30005452</v>
      </c>
      <c r="AG15" s="11"/>
      <c r="AJ15" s="10"/>
      <c r="AK15" s="10" t="str">
        <f aca="false">B15</f>
        <v>P2</v>
      </c>
      <c r="AL15" s="10" t="str">
        <f aca="false">C15</f>
        <v>KENDAL</v>
      </c>
      <c r="AM15" s="10" t="str">
        <f aca="false">D15</f>
        <v>1063120241004791</v>
      </c>
      <c r="AN15" s="10" t="str">
        <f aca="false">E15</f>
        <v>HERMANTO</v>
      </c>
      <c r="AO15" s="10" t="str">
        <f aca="false">F15</f>
        <v>Konsumen Aktif M 0 - 6 Lunas</v>
      </c>
      <c r="AP15" s="11" t="str">
        <f aca="false">IFERROR(G15,X15)</f>
        <v>P091A002037332                </v>
      </c>
      <c r="AQ15" s="11" t="str">
        <f aca="false">IFERROR(H15,Y15)</f>
        <v>YES</v>
      </c>
      <c r="AR15" s="11" t="str">
        <f aca="false">IFERROR(I15,Z15)</f>
        <v>Ngasinan RT 009 /RW 003, Ngasinan, Weleri, KAB-Kendal, 51355</v>
      </c>
      <c r="AS15" s="11" t="str">
        <f aca="false">IFERROR(J15,AA15)</f>
        <v>Ngasinan</v>
      </c>
      <c r="AT15" s="11" t="str">
        <f aca="false">IFERROR(K15,AB15)</f>
        <v>Weleri</v>
      </c>
      <c r="AU15" s="11" t="str">
        <f aca="false">IFERROR(L15,AC15)</f>
        <v>https://www.google.com/maps?z=12&amp;t=m&amp;q=loc:-6.971223+110.090367</v>
      </c>
      <c r="AV15" s="11" t="str">
        <f aca="false">IFERROR(M15,AD15)</f>
        <v>EXCELLENT</v>
      </c>
      <c r="AW15" s="11" t="n">
        <f aca="false">IFERROR(N15,AE15)</f>
        <v>0</v>
      </c>
      <c r="AX15" s="11" t="str">
        <f aca="false">IFERROR(O15,AF15)</f>
        <v>0813 - 30005452</v>
      </c>
    </row>
    <row r="16" customFormat="false" ht="15.75" hidden="false" customHeight="true" outlineLevel="0" collapsed="false">
      <c r="A16" s="10"/>
      <c r="B16" s="10" t="s">
        <v>18</v>
      </c>
      <c r="C16" s="10" t="s">
        <v>19</v>
      </c>
      <c r="D16" s="10" t="s">
        <v>41</v>
      </c>
      <c r="E16" s="10" t="s">
        <v>42</v>
      </c>
      <c r="F16" s="11" t="s">
        <v>22</v>
      </c>
      <c r="G16" s="11" t="str">
        <f aca="false">VLOOKUP(D16,'DATABASE RO'!$B$3:$M$299,4,0)</f>
        <v>CUS063120241008307            </v>
      </c>
      <c r="H16" s="11" t="str">
        <f aca="false">VLOOKUP(D16,'DATABASE RO'!$B$3:$M$299,5,0)</f>
        <v>YES</v>
      </c>
      <c r="I16" s="11" t="str">
        <f aca="false">VLOOKUP(D16,'DATABASE RO'!$B$3:$M$299,6,0)</f>
        <v>DESA GEBANGANOM WETAN RT 006 /RW 001, Gebanganom Wetan, Kangkung, KAB-Kendal, 51353</v>
      </c>
      <c r="J16" s="11" t="str">
        <f aca="false">VLOOKUP(D16,'DATABASE RO'!$B$3:$M$299,7,0)</f>
        <v>Gebanganom Wetan</v>
      </c>
      <c r="K16" s="11" t="str">
        <f aca="false">VLOOKUP(D16,'DATABASE RO'!$B$3:$M$299,8,0)</f>
        <v>Kangkung</v>
      </c>
      <c r="L16" s="11" t="str">
        <f aca="false">VLOOKUP(D16,'DATABASE RO'!$B$3:$M$299,9,0)</f>
        <v>https://www.google.com/maps/place/6%C2%B056'20.0%22S+110%C2%B007'29.6%22E/@-6.938877,110.1223221,17z/data=!3m1!4b1!4m4!3m3!8m2!3d-6.938877!4d110.124897?entry=ttu&amp;g_ep=EgoyMDI2MDcwOC4wIKXMDSoASAFQAw%3D%3D</v>
      </c>
      <c r="M16" s="11" t="str">
        <f aca="false">VLOOKUP(D16,'DATABASE RO'!$B$3:$M$299,10,0)</f>
        <v>EXCELLENT
</v>
      </c>
      <c r="N16" s="11"/>
      <c r="O16" s="11" t="str">
        <f aca="false">VLOOKUP(D16,'DATABASE RO'!$B$3:$M$299,12,0)</f>
        <v>085520754148</v>
      </c>
      <c r="P16" s="11"/>
      <c r="S16" s="9" t="str">
        <f aca="false">B16</f>
        <v>P2</v>
      </c>
      <c r="T16" s="9" t="str">
        <f aca="false">C16</f>
        <v>KENDAL</v>
      </c>
      <c r="U16" s="9" t="str">
        <f aca="false">D16</f>
        <v>1063120241004798</v>
      </c>
      <c r="V16" s="9" t="str">
        <f aca="false">E16</f>
        <v>SITI MASROFAH</v>
      </c>
      <c r="W16" s="10"/>
      <c r="X16" s="11" t="str">
        <f aca="false">VLOOKUP(V16,'DATABASE RO'!$C$3:$M$185,3,0)</f>
        <v>CUS063120241008307            </v>
      </c>
      <c r="Y16" s="11" t="str">
        <f aca="false">VLOOKUP(V16,'DATABASE RO'!$C$3:$M$185,4,0)</f>
        <v>YES</v>
      </c>
      <c r="Z16" s="11" t="str">
        <f aca="false">VLOOKUP(V16,'DATABASE RO'!$C$3:$M$185,5,0)</f>
        <v>DESA GEBANGANOM WETAN RT 006 /RW 001, Gebanganom Wetan, Kangkung, KAB-Kendal, 51353</v>
      </c>
      <c r="AA16" s="11" t="str">
        <f aca="false">VLOOKUP(V16,'DATABASE RO'!$C$3:$M$185,6,0)</f>
        <v>Gebanganom Wetan</v>
      </c>
      <c r="AB16" s="11" t="str">
        <f aca="false">VLOOKUP(V16,'DATABASE RO'!$C$3:$M$185,7,0)</f>
        <v>Kangkung</v>
      </c>
      <c r="AC16" s="11" t="str">
        <f aca="false">VLOOKUP(V16,'DATABASE RO'!$C$3:$M$185,8,0)</f>
        <v>https://www.google.com/maps/place/6%C2%B056'20.0%22S+110%C2%B007'29.6%22E/@-6.938877,110.1223221,17z/data=!3m1!4b1!4m4!3m3!8m2!3d-6.938877!4d110.124897?entry=ttu&amp;g_ep=EgoyMDI2MDcwOC4wIKXMDSoASAFQAw%3D%3D</v>
      </c>
      <c r="AD16" s="11" t="str">
        <f aca="false">VLOOKUP(V16,'DATABASE RO'!$C$3:$M$185,9,0)</f>
        <v>EXCELLENT
</v>
      </c>
      <c r="AE16" s="11"/>
      <c r="AF16" s="11" t="str">
        <f aca="false">VLOOKUP(V16,'DATABASE RO'!$C$3:$M$185,11,0)</f>
        <v>085520754148</v>
      </c>
      <c r="AG16" s="11"/>
      <c r="AJ16" s="10"/>
      <c r="AK16" s="10" t="str">
        <f aca="false">B16</f>
        <v>P2</v>
      </c>
      <c r="AL16" s="10" t="str">
        <f aca="false">C16</f>
        <v>KENDAL</v>
      </c>
      <c r="AM16" s="10" t="str">
        <f aca="false">D16</f>
        <v>1063120241004798</v>
      </c>
      <c r="AN16" s="10" t="str">
        <f aca="false">E16</f>
        <v>SITI MASROFAH</v>
      </c>
      <c r="AO16" s="10" t="str">
        <f aca="false">F16</f>
        <v>Konsumen Aktif M 0 - 6 Lunas</v>
      </c>
      <c r="AP16" s="11" t="str">
        <f aca="false">IFERROR(G16,X16)</f>
        <v>CUS063120241008307            </v>
      </c>
      <c r="AQ16" s="11" t="str">
        <f aca="false">IFERROR(H16,Y16)</f>
        <v>YES</v>
      </c>
      <c r="AR16" s="11" t="str">
        <f aca="false">IFERROR(I16,Z16)</f>
        <v>DESA GEBANGANOM WETAN RT 006 /RW 001, Gebanganom Wetan, Kangkung, KAB-Kendal, 51353</v>
      </c>
      <c r="AS16" s="11" t="str">
        <f aca="false">IFERROR(J16,AA16)</f>
        <v>Gebanganom Wetan</v>
      </c>
      <c r="AT16" s="11" t="str">
        <f aca="false">IFERROR(K16,AB16)</f>
        <v>Kangkung</v>
      </c>
      <c r="AU16" s="11" t="str">
        <f aca="false">IFERROR(L16,AC16)</f>
        <v>https://www.google.com/maps/place/6%C2%B056'20.0%22S+110%C2%B007'29.6%22E/@-6.938877,110.1223221,17z/data=!3m1!4b1!4m4!3m3!8m2!3d-6.938877!4d110.124897?entry=ttu&amp;g_ep=EgoyMDI2MDcwOC4wIKXMDSoASAFQAw%3D%3D</v>
      </c>
      <c r="AV16" s="11" t="str">
        <f aca="false">IFERROR(M16,AD16)</f>
        <v>EXCELLENT
</v>
      </c>
      <c r="AW16" s="11" t="n">
        <f aca="false">IFERROR(N16,AE16)</f>
        <v>0</v>
      </c>
      <c r="AX16" s="11" t="str">
        <f aca="false">IFERROR(O16,AF16)</f>
        <v>085520754148</v>
      </c>
    </row>
    <row r="17" customFormat="false" ht="15.75" hidden="false" customHeight="true" outlineLevel="0" collapsed="false">
      <c r="A17" s="10"/>
      <c r="B17" s="10" t="s">
        <v>18</v>
      </c>
      <c r="C17" s="10" t="s">
        <v>19</v>
      </c>
      <c r="D17" s="10" t="s">
        <v>43</v>
      </c>
      <c r="E17" s="10" t="s">
        <v>44</v>
      </c>
      <c r="F17" s="11" t="s">
        <v>22</v>
      </c>
      <c r="G17" s="11" t="str">
        <f aca="false">VLOOKUP(D17,'DATABASE RO'!$B$3:$M$299,4,0)</f>
        <v>P19002037152                  </v>
      </c>
      <c r="H17" s="11" t="str">
        <f aca="false">VLOOKUP(D17,'DATABASE RO'!$B$3:$M$299,5,0)</f>
        <v>YES</v>
      </c>
      <c r="I17" s="11" t="str">
        <f aca="false">VLOOKUP(D17,'DATABASE RO'!$B$3:$M$299,6,0)</f>
        <v>DESA PUGUH RT 001/004 RT 01 /RW 04, Puguh, Pegandon, KAB-Kendal, 51357</v>
      </c>
      <c r="J17" s="11" t="str">
        <f aca="false">VLOOKUP(D17,'DATABASE RO'!$B$3:$M$299,7,0)</f>
        <v>Puguh</v>
      </c>
      <c r="K17" s="11" t="str">
        <f aca="false">VLOOKUP(D17,'DATABASE RO'!$B$3:$M$299,8,0)</f>
        <v>Pegandon</v>
      </c>
      <c r="L17" s="11" t="str">
        <f aca="false">VLOOKUP(D17,'DATABASE RO'!$B$3:$M$299,9,0)</f>
        <v>TIDAK ADA</v>
      </c>
      <c r="M17" s="11" t="str">
        <f aca="false">VLOOKUP(D17,'DATABASE RO'!$B$3:$M$299,10,0)</f>
        <v>GOOD</v>
      </c>
      <c r="N17" s="11"/>
      <c r="O17" s="11" t="str">
        <f aca="false">VLOOKUP(D17,'DATABASE RO'!$B$3:$M$299,12,0)</f>
        <v>0882 - 007565578</v>
      </c>
      <c r="P17" s="11"/>
      <c r="S17" s="9" t="str">
        <f aca="false">B17</f>
        <v>P2</v>
      </c>
      <c r="T17" s="9" t="str">
        <f aca="false">C17</f>
        <v>KENDAL</v>
      </c>
      <c r="U17" s="9" t="str">
        <f aca="false">D17</f>
        <v>1063120241004807</v>
      </c>
      <c r="V17" s="9" t="str">
        <f aca="false">E17</f>
        <v>ANNAS MARZUKI</v>
      </c>
      <c r="W17" s="10"/>
      <c r="X17" s="11" t="str">
        <f aca="false">VLOOKUP(V17,'DATABASE RO'!$C$3:$M$185,3,0)</f>
        <v>P19002037152                  </v>
      </c>
      <c r="Y17" s="11" t="str">
        <f aca="false">VLOOKUP(V17,'DATABASE RO'!$C$3:$M$185,4,0)</f>
        <v>YES</v>
      </c>
      <c r="Z17" s="11" t="str">
        <f aca="false">VLOOKUP(V17,'DATABASE RO'!$C$3:$M$185,5,0)</f>
        <v>DESA PUGUH RT 001/004 RT 01 /RW 04, Puguh, Pegandon, KAB-Kendal, 51357</v>
      </c>
      <c r="AA17" s="11" t="str">
        <f aca="false">VLOOKUP(V17,'DATABASE RO'!$C$3:$M$185,6,0)</f>
        <v>Puguh</v>
      </c>
      <c r="AB17" s="11" t="str">
        <f aca="false">VLOOKUP(V17,'DATABASE RO'!$C$3:$M$185,7,0)</f>
        <v>Pegandon</v>
      </c>
      <c r="AC17" s="11" t="str">
        <f aca="false">VLOOKUP(V17,'DATABASE RO'!$C$3:$M$185,8,0)</f>
        <v>TIDAK ADA</v>
      </c>
      <c r="AD17" s="11" t="str">
        <f aca="false">VLOOKUP(V17,'DATABASE RO'!$C$3:$M$185,9,0)</f>
        <v>GOOD</v>
      </c>
      <c r="AE17" s="11"/>
      <c r="AF17" s="11" t="str">
        <f aca="false">VLOOKUP(V17,'DATABASE RO'!$C$3:$M$185,11,0)</f>
        <v>0882 - 007565578</v>
      </c>
      <c r="AG17" s="11"/>
      <c r="AJ17" s="10"/>
      <c r="AK17" s="10" t="str">
        <f aca="false">B17</f>
        <v>P2</v>
      </c>
      <c r="AL17" s="10" t="str">
        <f aca="false">C17</f>
        <v>KENDAL</v>
      </c>
      <c r="AM17" s="10" t="str">
        <f aca="false">D17</f>
        <v>1063120241004807</v>
      </c>
      <c r="AN17" s="10" t="str">
        <f aca="false">E17</f>
        <v>ANNAS MARZUKI</v>
      </c>
      <c r="AO17" s="10" t="str">
        <f aca="false">F17</f>
        <v>Konsumen Aktif M 0 - 6 Lunas</v>
      </c>
      <c r="AP17" s="11" t="str">
        <f aca="false">IFERROR(G17,X17)</f>
        <v>P19002037152                  </v>
      </c>
      <c r="AQ17" s="11" t="str">
        <f aca="false">IFERROR(H17,Y17)</f>
        <v>YES</v>
      </c>
      <c r="AR17" s="11" t="str">
        <f aca="false">IFERROR(I17,Z17)</f>
        <v>DESA PUGUH RT 001/004 RT 01 /RW 04, Puguh, Pegandon, KAB-Kendal, 51357</v>
      </c>
      <c r="AS17" s="11" t="str">
        <f aca="false">IFERROR(J17,AA17)</f>
        <v>Puguh</v>
      </c>
      <c r="AT17" s="11" t="str">
        <f aca="false">IFERROR(K17,AB17)</f>
        <v>Pegandon</v>
      </c>
      <c r="AU17" s="11" t="str">
        <f aca="false">IFERROR(L17,AC17)</f>
        <v>TIDAK ADA</v>
      </c>
      <c r="AV17" s="11" t="str">
        <f aca="false">IFERROR(M17,AD17)</f>
        <v>GOOD</v>
      </c>
      <c r="AW17" s="11" t="n">
        <f aca="false">IFERROR(N17,AE17)</f>
        <v>0</v>
      </c>
      <c r="AX17" s="11" t="str">
        <f aca="false">IFERROR(O17,AF17)</f>
        <v>0882 - 007565578</v>
      </c>
    </row>
    <row r="18" customFormat="false" ht="15.75" hidden="false" customHeight="true" outlineLevel="0" collapsed="false">
      <c r="A18" s="10"/>
      <c r="B18" s="10" t="s">
        <v>18</v>
      </c>
      <c r="C18" s="10" t="s">
        <v>19</v>
      </c>
      <c r="D18" s="10" t="s">
        <v>45</v>
      </c>
      <c r="E18" s="10" t="s">
        <v>46</v>
      </c>
      <c r="F18" s="11" t="s">
        <v>22</v>
      </c>
      <c r="G18" s="11" t="str">
        <f aca="false">VLOOKUP(D18,'DATABASE RO'!$B$3:$M$299,4,0)</f>
        <v>CUS063120221106822            </v>
      </c>
      <c r="H18" s="11" t="str">
        <f aca="false">VLOOKUP(D18,'DATABASE RO'!$B$3:$M$299,5,0)</f>
        <v>YES</v>
      </c>
      <c r="I18" s="11" t="str">
        <f aca="false">VLOOKUP(D18,'DATABASE RO'!$B$3:$M$299,6,0)</f>
        <v>TEMPEL RT 010 /RW 003, Bumiayu, Weleri, KAB-Kendal, 51355</v>
      </c>
      <c r="J18" s="11" t="str">
        <f aca="false">VLOOKUP(D18,'DATABASE RO'!$B$3:$M$299,7,0)</f>
        <v>Bumiayu</v>
      </c>
      <c r="K18" s="11" t="str">
        <f aca="false">VLOOKUP(D18,'DATABASE RO'!$B$3:$M$299,8,0)</f>
        <v>Weleri</v>
      </c>
      <c r="L18" s="11" t="str">
        <f aca="false">VLOOKUP(D18,'DATABASE RO'!$B$3:$M$299,9,0)</f>
        <v>https://www.google.com/maps?z=12&amp;t=m&amp;q=loc:-6.981893+110.073458</v>
      </c>
      <c r="M18" s="11" t="str">
        <f aca="false">VLOOKUP(D18,'DATABASE RO'!$B$3:$M$299,10,0)</f>
        <v>EXCELLENT</v>
      </c>
      <c r="N18" s="11"/>
      <c r="O18" s="11" t="str">
        <f aca="false">VLOOKUP(D18,'DATABASE RO'!$B$3:$M$299,12,0)</f>
        <v>083121132031</v>
      </c>
      <c r="P18" s="11"/>
      <c r="S18" s="9" t="str">
        <f aca="false">B18</f>
        <v>P2</v>
      </c>
      <c r="T18" s="9" t="str">
        <f aca="false">C18</f>
        <v>KENDAL</v>
      </c>
      <c r="U18" s="9" t="str">
        <f aca="false">D18</f>
        <v>1063120241104840</v>
      </c>
      <c r="V18" s="9" t="str">
        <f aca="false">E18</f>
        <v>CAHYA KARDININGSIH</v>
      </c>
      <c r="W18" s="10"/>
      <c r="X18" s="11" t="str">
        <f aca="false">VLOOKUP(V18,'DATABASE RO'!$C$3:$M$185,3,0)</f>
        <v>CUS063120221106822            </v>
      </c>
      <c r="Y18" s="11" t="str">
        <f aca="false">VLOOKUP(V18,'DATABASE RO'!$C$3:$M$185,4,0)</f>
        <v>YES</v>
      </c>
      <c r="Z18" s="11" t="str">
        <f aca="false">VLOOKUP(V18,'DATABASE RO'!$C$3:$M$185,5,0)</f>
        <v>TEMPEL RT 010 /RW 003, Bumiayu, Weleri, KAB-Kendal, 51355</v>
      </c>
      <c r="AA18" s="11" t="str">
        <f aca="false">VLOOKUP(V18,'DATABASE RO'!$C$3:$M$185,6,0)</f>
        <v>Bumiayu</v>
      </c>
      <c r="AB18" s="11" t="str">
        <f aca="false">VLOOKUP(V18,'DATABASE RO'!$C$3:$M$185,7,0)</f>
        <v>Weleri</v>
      </c>
      <c r="AC18" s="11" t="str">
        <f aca="false">VLOOKUP(V18,'DATABASE RO'!$C$3:$M$185,8,0)</f>
        <v>https://www.google.com/maps?z=12&amp;t=m&amp;q=loc:-6.981893+110.073458</v>
      </c>
      <c r="AD18" s="11" t="str">
        <f aca="false">VLOOKUP(V18,'DATABASE RO'!$C$3:$M$185,9,0)</f>
        <v>EXCELLENT</v>
      </c>
      <c r="AE18" s="11"/>
      <c r="AF18" s="11" t="str">
        <f aca="false">VLOOKUP(V18,'DATABASE RO'!$C$3:$M$185,11,0)</f>
        <v>083121132031</v>
      </c>
      <c r="AG18" s="11"/>
      <c r="AJ18" s="10"/>
      <c r="AK18" s="10" t="str">
        <f aca="false">B18</f>
        <v>P2</v>
      </c>
      <c r="AL18" s="10" t="str">
        <f aca="false">C18</f>
        <v>KENDAL</v>
      </c>
      <c r="AM18" s="10" t="str">
        <f aca="false">D18</f>
        <v>1063120241104840</v>
      </c>
      <c r="AN18" s="10" t="str">
        <f aca="false">E18</f>
        <v>CAHYA KARDININGSIH</v>
      </c>
      <c r="AO18" s="10" t="str">
        <f aca="false">F18</f>
        <v>Konsumen Aktif M 0 - 6 Lunas</v>
      </c>
      <c r="AP18" s="11" t="str">
        <f aca="false">IFERROR(G18,X18)</f>
        <v>CUS063120221106822            </v>
      </c>
      <c r="AQ18" s="11" t="str">
        <f aca="false">IFERROR(H18,Y18)</f>
        <v>YES</v>
      </c>
      <c r="AR18" s="11" t="str">
        <f aca="false">IFERROR(I18,Z18)</f>
        <v>TEMPEL RT 010 /RW 003, Bumiayu, Weleri, KAB-Kendal, 51355</v>
      </c>
      <c r="AS18" s="11" t="str">
        <f aca="false">IFERROR(J18,AA18)</f>
        <v>Bumiayu</v>
      </c>
      <c r="AT18" s="11" t="str">
        <f aca="false">IFERROR(K18,AB18)</f>
        <v>Weleri</v>
      </c>
      <c r="AU18" s="11" t="str">
        <f aca="false">IFERROR(L18,AC18)</f>
        <v>https://www.google.com/maps?z=12&amp;t=m&amp;q=loc:-6.981893+110.073458</v>
      </c>
      <c r="AV18" s="11" t="str">
        <f aca="false">IFERROR(M18,AD18)</f>
        <v>EXCELLENT</v>
      </c>
      <c r="AW18" s="11" t="n">
        <f aca="false">IFERROR(N18,AE18)</f>
        <v>0</v>
      </c>
      <c r="AX18" s="11" t="str">
        <f aca="false">IFERROR(O18,AF18)</f>
        <v>083121132031</v>
      </c>
    </row>
    <row r="19" customFormat="false" ht="15.75" hidden="false" customHeight="true" outlineLevel="0" collapsed="false">
      <c r="A19" s="10"/>
      <c r="B19" s="10" t="s">
        <v>18</v>
      </c>
      <c r="C19" s="10" t="s">
        <v>19</v>
      </c>
      <c r="D19" s="10" t="s">
        <v>47</v>
      </c>
      <c r="E19" s="10" t="s">
        <v>48</v>
      </c>
      <c r="F19" s="11" t="s">
        <v>22</v>
      </c>
      <c r="G19" s="11" t="str">
        <f aca="false">VLOOKUP(D19,'DATABASE RO'!$B$3:$M$299,4,0)</f>
        <v>CUS063120221006705            </v>
      </c>
      <c r="H19" s="11" t="str">
        <f aca="false">VLOOKUP(D19,'DATABASE RO'!$B$3:$M$299,5,0)</f>
        <v>YES</v>
      </c>
      <c r="I19" s="11" t="str">
        <f aca="false">VLOOKUP(D19,'DATABASE RO'!$B$3:$M$299,6,0)</f>
        <v>SAMBONGSARI RT 003 /RW 001, Sambongsari, Weleri, KAB-Kendal, 51355</v>
      </c>
      <c r="J19" s="11" t="str">
        <f aca="false">VLOOKUP(D19,'DATABASE RO'!$B$3:$M$299,7,0)</f>
        <v>Sambongsari</v>
      </c>
      <c r="K19" s="11" t="str">
        <f aca="false">VLOOKUP(D19,'DATABASE RO'!$B$3:$M$299,8,0)</f>
        <v>Weleri</v>
      </c>
      <c r="L19" s="11" t="str">
        <f aca="false">VLOOKUP(D19,'DATABASE RO'!$B$3:$M$299,9,0)</f>
        <v>google.com/maps?z=12&amp;t=m&amp;q=loc:-6.972847+110.059785</v>
      </c>
      <c r="M19" s="11" t="str">
        <f aca="false">VLOOKUP(D19,'DATABASE RO'!$B$3:$M$299,10,0)</f>
        <v>NORMAL</v>
      </c>
      <c r="N19" s="11"/>
      <c r="O19" s="11" t="str">
        <f aca="false">VLOOKUP(D19,'DATABASE RO'!$B$3:$M$299,12,0)</f>
        <v>08988383160</v>
      </c>
      <c r="P19" s="11"/>
      <c r="S19" s="9" t="str">
        <f aca="false">B19</f>
        <v>P2</v>
      </c>
      <c r="T19" s="9" t="str">
        <f aca="false">C19</f>
        <v>KENDAL</v>
      </c>
      <c r="U19" s="9" t="str">
        <f aca="false">D19</f>
        <v>1063120241204874</v>
      </c>
      <c r="V19" s="9" t="str">
        <f aca="false">E19</f>
        <v>Riyantik</v>
      </c>
      <c r="W19" s="10"/>
      <c r="X19" s="11" t="str">
        <f aca="false">VLOOKUP(V19,'DATABASE RO'!$C$3:$M$185,3,0)</f>
        <v>CUS063120221006705            </v>
      </c>
      <c r="Y19" s="11" t="str">
        <f aca="false">VLOOKUP(V19,'DATABASE RO'!$C$3:$M$185,4,0)</f>
        <v>YES</v>
      </c>
      <c r="Z19" s="11" t="str">
        <f aca="false">VLOOKUP(V19,'DATABASE RO'!$C$3:$M$185,5,0)</f>
        <v>SAMBONGSARI RT 003 /RW 001, Sambongsari, Weleri, KAB-Kendal, 51355</v>
      </c>
      <c r="AA19" s="11" t="str">
        <f aca="false">VLOOKUP(V19,'DATABASE RO'!$C$3:$M$185,6,0)</f>
        <v>Sambongsari</v>
      </c>
      <c r="AB19" s="11" t="str">
        <f aca="false">VLOOKUP(V19,'DATABASE RO'!$C$3:$M$185,7,0)</f>
        <v>Weleri</v>
      </c>
      <c r="AC19" s="11" t="str">
        <f aca="false">VLOOKUP(V19,'DATABASE RO'!$C$3:$M$185,8,0)</f>
        <v>google.com/maps?z=12&amp;t=m&amp;q=loc:-6.972847+110.059785</v>
      </c>
      <c r="AD19" s="11" t="str">
        <f aca="false">VLOOKUP(V19,'DATABASE RO'!$C$3:$M$185,9,0)</f>
        <v>NORMAL</v>
      </c>
      <c r="AE19" s="11"/>
      <c r="AF19" s="11" t="str">
        <f aca="false">VLOOKUP(V19,'DATABASE RO'!$C$3:$M$185,11,0)</f>
        <v>08988383160</v>
      </c>
      <c r="AG19" s="11"/>
      <c r="AJ19" s="10"/>
      <c r="AK19" s="10" t="str">
        <f aca="false">B19</f>
        <v>P2</v>
      </c>
      <c r="AL19" s="10" t="str">
        <f aca="false">C19</f>
        <v>KENDAL</v>
      </c>
      <c r="AM19" s="10" t="str">
        <f aca="false">D19</f>
        <v>1063120241204874</v>
      </c>
      <c r="AN19" s="10" t="str">
        <f aca="false">E19</f>
        <v>Riyantik</v>
      </c>
      <c r="AO19" s="10" t="str">
        <f aca="false">F19</f>
        <v>Konsumen Aktif M 0 - 6 Lunas</v>
      </c>
      <c r="AP19" s="11" t="str">
        <f aca="false">IFERROR(G19,X19)</f>
        <v>CUS063120221006705            </v>
      </c>
      <c r="AQ19" s="11" t="str">
        <f aca="false">IFERROR(H19,Y19)</f>
        <v>YES</v>
      </c>
      <c r="AR19" s="11" t="str">
        <f aca="false">IFERROR(I19,Z19)</f>
        <v>SAMBONGSARI RT 003 /RW 001, Sambongsari, Weleri, KAB-Kendal, 51355</v>
      </c>
      <c r="AS19" s="11" t="str">
        <f aca="false">IFERROR(J19,AA19)</f>
        <v>Sambongsari</v>
      </c>
      <c r="AT19" s="11" t="str">
        <f aca="false">IFERROR(K19,AB19)</f>
        <v>Weleri</v>
      </c>
      <c r="AU19" s="11" t="str">
        <f aca="false">IFERROR(L19,AC19)</f>
        <v>google.com/maps?z=12&amp;t=m&amp;q=loc:-6.972847+110.059785</v>
      </c>
      <c r="AV19" s="11" t="str">
        <f aca="false">IFERROR(M19,AD19)</f>
        <v>NORMAL</v>
      </c>
      <c r="AW19" s="11" t="n">
        <f aca="false">IFERROR(N19,AE19)</f>
        <v>0</v>
      </c>
      <c r="AX19" s="11" t="str">
        <f aca="false">IFERROR(O19,AF19)</f>
        <v>08988383160</v>
      </c>
    </row>
    <row r="20" customFormat="false" ht="15.75" hidden="false" customHeight="true" outlineLevel="0" collapsed="false">
      <c r="A20" s="10"/>
      <c r="B20" s="10" t="s">
        <v>18</v>
      </c>
      <c r="C20" s="10" t="s">
        <v>19</v>
      </c>
      <c r="D20" s="10" t="s">
        <v>49</v>
      </c>
      <c r="E20" s="10" t="s">
        <v>50</v>
      </c>
      <c r="F20" s="11" t="s">
        <v>22</v>
      </c>
      <c r="G20" s="11" t="str">
        <f aca="false">VLOOKUP(D20,'DATABASE RO'!$B$3:$M$299,4,0)</f>
        <v>CUS063120230307314            </v>
      </c>
      <c r="H20" s="11" t="str">
        <f aca="false">VLOOKUP(D20,'DATABASE RO'!$B$3:$M$299,5,0)</f>
        <v>YES</v>
      </c>
      <c r="I20" s="11" t="str">
        <f aca="false">VLOOKUP(D20,'DATABASE RO'!$B$3:$M$299,6,0)</f>
        <v>Langgengsari RT 005 /RW 002, Plantaran, Kaliwungu Selatan, KAB-Kendal, 51372</v>
      </c>
      <c r="J20" s="11" t="str">
        <f aca="false">VLOOKUP(D20,'DATABASE RO'!$B$3:$M$299,7,0)</f>
        <v>Plantaran</v>
      </c>
      <c r="K20" s="11" t="str">
        <f aca="false">VLOOKUP(D20,'DATABASE RO'!$B$3:$M$299,8,0)</f>
        <v>Kaliwungu Selatan</v>
      </c>
      <c r="L20" s="11" t="str">
        <f aca="false">VLOOKUP(D20,'DATABASE RO'!$B$3:$M$299,9,0)</f>
        <v>https://www.google.com/maps/place/6%C2%B057'59.5%22S+110%C2%B014'47.6%22E/@-6.966538,110.2439671,17z/data=!3m1!4b1!4m4!3m3!8m2!3d-6.966538!4d110.246542?entry=ttu&amp;g_ep=EgoyMDI2MDYyOS4wIKXMDSoASAFQAw%3D%3D</v>
      </c>
      <c r="M20" s="11" t="str">
        <f aca="false">VLOOKUP(D20,'DATABASE RO'!$B$3:$M$299,10,0)</f>
        <v>NORMAL</v>
      </c>
      <c r="N20" s="11"/>
      <c r="O20" s="11" t="str">
        <f aca="false">VLOOKUP(D20,'DATABASE RO'!$B$3:$M$299,12,0)</f>
        <v>085713645032</v>
      </c>
      <c r="P20" s="11"/>
      <c r="S20" s="9" t="str">
        <f aca="false">B20</f>
        <v>P2</v>
      </c>
      <c r="T20" s="9" t="str">
        <f aca="false">C20</f>
        <v>KENDAL</v>
      </c>
      <c r="U20" s="9" t="str">
        <f aca="false">D20</f>
        <v>1063120250104885</v>
      </c>
      <c r="V20" s="9" t="str">
        <f aca="false">E20</f>
        <v>Andy Purnomo aji</v>
      </c>
      <c r="W20" s="10"/>
      <c r="X20" s="11" t="str">
        <f aca="false">VLOOKUP(V20,'DATABASE RO'!$C$3:$M$185,3,0)</f>
        <v>CUS063120230307314            </v>
      </c>
      <c r="Y20" s="11" t="str">
        <f aca="false">VLOOKUP(V20,'DATABASE RO'!$C$3:$M$185,4,0)</f>
        <v>YES</v>
      </c>
      <c r="Z20" s="11" t="str">
        <f aca="false">VLOOKUP(V20,'DATABASE RO'!$C$3:$M$185,5,0)</f>
        <v>Langgengsari RT 005 /RW 002, Plantaran, Kaliwungu Selatan, KAB-Kendal, 51372</v>
      </c>
      <c r="AA20" s="11" t="str">
        <f aca="false">VLOOKUP(V20,'DATABASE RO'!$C$3:$M$185,6,0)</f>
        <v>Plantaran</v>
      </c>
      <c r="AB20" s="11" t="str">
        <f aca="false">VLOOKUP(V20,'DATABASE RO'!$C$3:$M$185,7,0)</f>
        <v>Kaliwungu Selatan</v>
      </c>
      <c r="AC20" s="11" t="str">
        <f aca="false">VLOOKUP(V20,'DATABASE RO'!$C$3:$M$185,8,0)</f>
        <v>https://www.google.com/maps/place/6%C2%B057'59.5%22S+110%C2%B014'47.6%22E/@-6.966538,110.2439671,17z/data=!3m1!4b1!4m4!3m3!8m2!3d-6.966538!4d110.246542?entry=ttu&amp;g_ep=EgoyMDI2MDYyOS4wIKXMDSoASAFQAw%3D%3D</v>
      </c>
      <c r="AD20" s="11" t="str">
        <f aca="false">VLOOKUP(V20,'DATABASE RO'!$C$3:$M$185,9,0)</f>
        <v>NORMAL</v>
      </c>
      <c r="AE20" s="11"/>
      <c r="AF20" s="11" t="str">
        <f aca="false">VLOOKUP(V20,'DATABASE RO'!$C$3:$M$185,11,0)</f>
        <v>085713645032</v>
      </c>
      <c r="AG20" s="11"/>
      <c r="AJ20" s="10"/>
      <c r="AK20" s="10" t="str">
        <f aca="false">B20</f>
        <v>P2</v>
      </c>
      <c r="AL20" s="10" t="str">
        <f aca="false">C20</f>
        <v>KENDAL</v>
      </c>
      <c r="AM20" s="10" t="str">
        <f aca="false">D20</f>
        <v>1063120250104885</v>
      </c>
      <c r="AN20" s="10" t="str">
        <f aca="false">E20</f>
        <v>Andy Purnomo aji</v>
      </c>
      <c r="AO20" s="10" t="str">
        <f aca="false">F20</f>
        <v>Konsumen Aktif M 0 - 6 Lunas</v>
      </c>
      <c r="AP20" s="11" t="str">
        <f aca="false">IFERROR(G20,X20)</f>
        <v>CUS063120230307314            </v>
      </c>
      <c r="AQ20" s="11" t="str">
        <f aca="false">IFERROR(H20,Y20)</f>
        <v>YES</v>
      </c>
      <c r="AR20" s="11" t="str">
        <f aca="false">IFERROR(I20,Z20)</f>
        <v>Langgengsari RT 005 /RW 002, Plantaran, Kaliwungu Selatan, KAB-Kendal, 51372</v>
      </c>
      <c r="AS20" s="11" t="str">
        <f aca="false">IFERROR(J20,AA20)</f>
        <v>Plantaran</v>
      </c>
      <c r="AT20" s="11" t="str">
        <f aca="false">IFERROR(K20,AB20)</f>
        <v>Kaliwungu Selatan</v>
      </c>
      <c r="AU20" s="11" t="str">
        <f aca="false">IFERROR(L20,AC20)</f>
        <v>https://www.google.com/maps/place/6%C2%B057'59.5%22S+110%C2%B014'47.6%22E/@-6.966538,110.2439671,17z/data=!3m1!4b1!4m4!3m3!8m2!3d-6.966538!4d110.246542?entry=ttu&amp;g_ep=EgoyMDI2MDYyOS4wIKXMDSoASAFQAw%3D%3D</v>
      </c>
      <c r="AV20" s="11" t="str">
        <f aca="false">IFERROR(M20,AD20)</f>
        <v>NORMAL</v>
      </c>
      <c r="AW20" s="11" t="n">
        <f aca="false">IFERROR(N20,AE20)</f>
        <v>0</v>
      </c>
      <c r="AX20" s="11" t="str">
        <f aca="false">IFERROR(O20,AF20)</f>
        <v>085713645032</v>
      </c>
    </row>
    <row r="21" customFormat="false" ht="15.75" hidden="false" customHeight="true" outlineLevel="0" collapsed="false">
      <c r="A21" s="10"/>
      <c r="B21" s="10" t="s">
        <v>18</v>
      </c>
      <c r="C21" s="10" t="s">
        <v>19</v>
      </c>
      <c r="D21" s="10" t="s">
        <v>51</v>
      </c>
      <c r="E21" s="10" t="s">
        <v>52</v>
      </c>
      <c r="F21" s="11" t="s">
        <v>22</v>
      </c>
      <c r="G21" s="11" t="str">
        <f aca="false">VLOOKUP(D21,'DATABASE RO'!$B$3:$M$299,4,0)</f>
        <v>CUS063120240408019            </v>
      </c>
      <c r="H21" s="11" t="str">
        <f aca="false">VLOOKUP(D21,'DATABASE RO'!$B$3:$M$299,5,0)</f>
        <v>YES</v>
      </c>
      <c r="I21" s="11" t="str">
        <f aca="false">VLOOKUP(D21,'DATABASE RO'!$B$3:$M$299,6,0)</f>
        <v>KEBON ANOM RT 005 /RW 006, Kebongembong, Pagerruyung, KAB-Kendal, 51361</v>
      </c>
      <c r="J21" s="11" t="str">
        <f aca="false">VLOOKUP(D21,'DATABASE RO'!$B$3:$M$299,7,0)</f>
        <v>Kebongembong</v>
      </c>
      <c r="K21" s="11" t="str">
        <f aca="false">VLOOKUP(D21,'DATABASE RO'!$B$3:$M$299,8,0)</f>
        <v>Pagerruyung</v>
      </c>
      <c r="L21" s="11" t="str">
        <f aca="false">VLOOKUP(D21,'DATABASE RO'!$B$3:$M$299,9,0)</f>
        <v>https://www.google.com/maps/place/7%C2%B001'29.2%22S+110%C2%B001'10.2%22E/@-7.02477,110.0169101,17z/data=!3m1!4b1!4m4!3m3!8m2!3d-7.02477!4d110.019485?entry=ttu&amp;g_ep=EgoyMDI2MDYyOS4wIKXMDSoASAFQAw%3D%3D</v>
      </c>
      <c r="M21" s="11" t="str">
        <f aca="false">VLOOKUP(D21,'DATABASE RO'!$B$3:$M$299,10,0)</f>
        <v>EXCELLENT</v>
      </c>
      <c r="N21" s="11"/>
      <c r="O21" s="11" t="str">
        <f aca="false">VLOOKUP(D21,'DATABASE RO'!$B$3:$M$299,12,0)</f>
        <v>081285997827</v>
      </c>
      <c r="P21" s="11"/>
      <c r="S21" s="9" t="str">
        <f aca="false">B21</f>
        <v>P2</v>
      </c>
      <c r="T21" s="9" t="str">
        <f aca="false">C21</f>
        <v>KENDAL</v>
      </c>
      <c r="U21" s="9" t="str">
        <f aca="false">D21</f>
        <v>1063120250104886</v>
      </c>
      <c r="V21" s="9" t="str">
        <f aca="false">E21</f>
        <v>AISI ULFA LUTHFIANA</v>
      </c>
      <c r="W21" s="10"/>
      <c r="X21" s="11" t="str">
        <f aca="false">VLOOKUP(V21,'DATABASE RO'!$C$3:$M$185,3,0)</f>
        <v>CUS063120240408019            </v>
      </c>
      <c r="Y21" s="11" t="str">
        <f aca="false">VLOOKUP(V21,'DATABASE RO'!$C$3:$M$185,4,0)</f>
        <v>YES</v>
      </c>
      <c r="Z21" s="11" t="str">
        <f aca="false">VLOOKUP(V21,'DATABASE RO'!$C$3:$M$185,5,0)</f>
        <v>KEBON ANOM RT 005 /RW 006, Kebongembong, Pagerruyung, KAB-Kendal, 51361</v>
      </c>
      <c r="AA21" s="11" t="str">
        <f aca="false">VLOOKUP(V21,'DATABASE RO'!$C$3:$M$185,6,0)</f>
        <v>Kebongembong</v>
      </c>
      <c r="AB21" s="11" t="str">
        <f aca="false">VLOOKUP(V21,'DATABASE RO'!$C$3:$M$185,7,0)</f>
        <v>Pagerruyung</v>
      </c>
      <c r="AC21" s="11" t="str">
        <f aca="false">VLOOKUP(V21,'DATABASE RO'!$C$3:$M$185,8,0)</f>
        <v>https://www.google.com/maps/place/7%C2%B001'29.2%22S+110%C2%B001'10.2%22E/@-7.02477,110.0169101,17z/data=!3m1!4b1!4m4!3m3!8m2!3d-7.02477!4d110.019485?entry=ttu&amp;g_ep=EgoyMDI2MDYyOS4wIKXMDSoASAFQAw%3D%3D</v>
      </c>
      <c r="AD21" s="11" t="str">
        <f aca="false">VLOOKUP(V21,'DATABASE RO'!$C$3:$M$185,9,0)</f>
        <v>EXCELLENT</v>
      </c>
      <c r="AE21" s="11"/>
      <c r="AF21" s="11" t="str">
        <f aca="false">VLOOKUP(V21,'DATABASE RO'!$C$3:$M$185,11,0)</f>
        <v>081285997827</v>
      </c>
      <c r="AG21" s="11"/>
      <c r="AJ21" s="10"/>
      <c r="AK21" s="10" t="str">
        <f aca="false">B21</f>
        <v>P2</v>
      </c>
      <c r="AL21" s="10" t="str">
        <f aca="false">C21</f>
        <v>KENDAL</v>
      </c>
      <c r="AM21" s="10" t="str">
        <f aca="false">D21</f>
        <v>1063120250104886</v>
      </c>
      <c r="AN21" s="10" t="str">
        <f aca="false">E21</f>
        <v>AISI ULFA LUTHFIANA</v>
      </c>
      <c r="AO21" s="10" t="str">
        <f aca="false">F21</f>
        <v>Konsumen Aktif M 0 - 6 Lunas</v>
      </c>
      <c r="AP21" s="11" t="str">
        <f aca="false">IFERROR(G21,X21)</f>
        <v>CUS063120240408019            </v>
      </c>
      <c r="AQ21" s="11" t="str">
        <f aca="false">IFERROR(H21,Y21)</f>
        <v>YES</v>
      </c>
      <c r="AR21" s="11" t="str">
        <f aca="false">IFERROR(I21,Z21)</f>
        <v>KEBON ANOM RT 005 /RW 006, Kebongembong, Pagerruyung, KAB-Kendal, 51361</v>
      </c>
      <c r="AS21" s="11" t="str">
        <f aca="false">IFERROR(J21,AA21)</f>
        <v>Kebongembong</v>
      </c>
      <c r="AT21" s="11" t="str">
        <f aca="false">IFERROR(K21,AB21)</f>
        <v>Pagerruyung</v>
      </c>
      <c r="AU21" s="11" t="str">
        <f aca="false">IFERROR(L21,AC21)</f>
        <v>https://www.google.com/maps/place/7%C2%B001'29.2%22S+110%C2%B001'10.2%22E/@-7.02477,110.0169101,17z/data=!3m1!4b1!4m4!3m3!8m2!3d-7.02477!4d110.019485?entry=ttu&amp;g_ep=EgoyMDI2MDYyOS4wIKXMDSoASAFQAw%3D%3D</v>
      </c>
      <c r="AV21" s="11" t="str">
        <f aca="false">IFERROR(M21,AD21)</f>
        <v>EXCELLENT</v>
      </c>
      <c r="AW21" s="11" t="n">
        <f aca="false">IFERROR(N21,AE21)</f>
        <v>0</v>
      </c>
      <c r="AX21" s="11" t="str">
        <f aca="false">IFERROR(O21,AF21)</f>
        <v>081285997827</v>
      </c>
    </row>
    <row r="22" customFormat="false" ht="15.75" hidden="false" customHeight="true" outlineLevel="0" collapsed="false">
      <c r="A22" s="10"/>
      <c r="B22" s="10" t="s">
        <v>18</v>
      </c>
      <c r="C22" s="10" t="s">
        <v>19</v>
      </c>
      <c r="D22" s="10" t="s">
        <v>53</v>
      </c>
      <c r="E22" s="10" t="s">
        <v>54</v>
      </c>
      <c r="F22" s="11" t="s">
        <v>22</v>
      </c>
      <c r="G22" s="11" t="str">
        <f aca="false">VLOOKUP(D22,'DATABASE RO'!$B$3:$M$299,4,0)</f>
        <v>CUS063120190701682            </v>
      </c>
      <c r="H22" s="11" t="str">
        <f aca="false">VLOOKUP(D22,'DATABASE RO'!$B$3:$M$299,5,0)</f>
        <v>YES</v>
      </c>
      <c r="I22" s="11" t="str">
        <f aca="false">VLOOKUP(D22,'DATABASE RO'!$B$3:$M$299,6,0)</f>
        <v> 	CEPOKOMULYO RT 003 /RW 005, Cepokomulyo, Gemuh, KAB-Kendal, 51356</v>
      </c>
      <c r="J22" s="11" t="str">
        <f aca="false">VLOOKUP(D22,'DATABASE RO'!$B$3:$M$299,7,0)</f>
        <v>Cepokomulyo</v>
      </c>
      <c r="K22" s="11" t="str">
        <f aca="false">VLOOKUP(D22,'DATABASE RO'!$B$3:$M$299,8,0)</f>
        <v>Gemuh</v>
      </c>
      <c r="L22" s="11" t="str">
        <f aca="false">VLOOKUP(D22,'DATABASE RO'!$B$3:$M$299,9,0)</f>
        <v>google.com/maps?z=12&amp;t=m&amp;q=loc:-6.992719+110.128260</v>
      </c>
      <c r="M22" s="11" t="str">
        <f aca="false">VLOOKUP(D22,'DATABASE RO'!$B$3:$M$299,10,0)</f>
        <v>EXCELLENT</v>
      </c>
      <c r="N22" s="11"/>
      <c r="O22" s="11" t="str">
        <f aca="false">VLOOKUP(D22,'DATABASE RO'!$B$3:$M$299,12,0)</f>
        <v>082128848247</v>
      </c>
      <c r="P22" s="11"/>
      <c r="S22" s="9" t="str">
        <f aca="false">B22</f>
        <v>P2</v>
      </c>
      <c r="T22" s="9" t="str">
        <f aca="false">C22</f>
        <v>KENDAL</v>
      </c>
      <c r="U22" s="9" t="str">
        <f aca="false">D22</f>
        <v>1063120250104897</v>
      </c>
      <c r="V22" s="9" t="str">
        <f aca="false">E22</f>
        <v>MUHLISIN</v>
      </c>
      <c r="W22" s="10"/>
      <c r="X22" s="11" t="str">
        <f aca="false">VLOOKUP(V22,'DATABASE RO'!$C$3:$M$185,3,0)</f>
        <v>CUS063120190701682            </v>
      </c>
      <c r="Y22" s="11" t="str">
        <f aca="false">VLOOKUP(V22,'DATABASE RO'!$C$3:$M$185,4,0)</f>
        <v>YES</v>
      </c>
      <c r="Z22" s="11" t="str">
        <f aca="false">VLOOKUP(V22,'DATABASE RO'!$C$3:$M$185,5,0)</f>
        <v> 	CEPOKOMULYO RT 003 /RW 005, Cepokomulyo, Gemuh, KAB-Kendal, 51356</v>
      </c>
      <c r="AA22" s="11" t="str">
        <f aca="false">VLOOKUP(V22,'DATABASE RO'!$C$3:$M$185,6,0)</f>
        <v>Cepokomulyo</v>
      </c>
      <c r="AB22" s="11" t="str">
        <f aca="false">VLOOKUP(V22,'DATABASE RO'!$C$3:$M$185,7,0)</f>
        <v>Gemuh</v>
      </c>
      <c r="AC22" s="11" t="str">
        <f aca="false">VLOOKUP(V22,'DATABASE RO'!$C$3:$M$185,8,0)</f>
        <v>google.com/maps?z=12&amp;t=m&amp;q=loc:-6.992719+110.128260</v>
      </c>
      <c r="AD22" s="11" t="str">
        <f aca="false">VLOOKUP(V22,'DATABASE RO'!$C$3:$M$185,9,0)</f>
        <v>EXCELLENT</v>
      </c>
      <c r="AE22" s="11"/>
      <c r="AF22" s="11" t="str">
        <f aca="false">VLOOKUP(V22,'DATABASE RO'!$C$3:$M$185,11,0)</f>
        <v>082128848247</v>
      </c>
      <c r="AG22" s="11"/>
      <c r="AJ22" s="10"/>
      <c r="AK22" s="10" t="str">
        <f aca="false">B22</f>
        <v>P2</v>
      </c>
      <c r="AL22" s="10" t="str">
        <f aca="false">C22</f>
        <v>KENDAL</v>
      </c>
      <c r="AM22" s="10" t="str">
        <f aca="false">D22</f>
        <v>1063120250104897</v>
      </c>
      <c r="AN22" s="10" t="str">
        <f aca="false">E22</f>
        <v>MUHLISIN</v>
      </c>
      <c r="AO22" s="10" t="str">
        <f aca="false">F22</f>
        <v>Konsumen Aktif M 0 - 6 Lunas</v>
      </c>
      <c r="AP22" s="11" t="str">
        <f aca="false">IFERROR(G22,X22)</f>
        <v>CUS063120190701682            </v>
      </c>
      <c r="AQ22" s="11" t="str">
        <f aca="false">IFERROR(H22,Y22)</f>
        <v>YES</v>
      </c>
      <c r="AR22" s="11" t="str">
        <f aca="false">IFERROR(I22,Z22)</f>
        <v> 	CEPOKOMULYO RT 003 /RW 005, Cepokomulyo, Gemuh, KAB-Kendal, 51356</v>
      </c>
      <c r="AS22" s="11" t="str">
        <f aca="false">IFERROR(J22,AA22)</f>
        <v>Cepokomulyo</v>
      </c>
      <c r="AT22" s="11" t="str">
        <f aca="false">IFERROR(K22,AB22)</f>
        <v>Gemuh</v>
      </c>
      <c r="AU22" s="11" t="str">
        <f aca="false">IFERROR(L22,AC22)</f>
        <v>google.com/maps?z=12&amp;t=m&amp;q=loc:-6.992719+110.128260</v>
      </c>
      <c r="AV22" s="11" t="str">
        <f aca="false">IFERROR(M22,AD22)</f>
        <v>EXCELLENT</v>
      </c>
      <c r="AW22" s="11" t="n">
        <f aca="false">IFERROR(N22,AE22)</f>
        <v>0</v>
      </c>
      <c r="AX22" s="11" t="str">
        <f aca="false">IFERROR(O22,AF22)</f>
        <v>082128848247</v>
      </c>
    </row>
    <row r="23" customFormat="false" ht="15.75" hidden="false" customHeight="true" outlineLevel="0" collapsed="false">
      <c r="A23" s="9" t="s">
        <v>1</v>
      </c>
      <c r="B23" s="10" t="s">
        <v>18</v>
      </c>
      <c r="C23" s="10" t="s">
        <v>19</v>
      </c>
      <c r="D23" s="10" t="s">
        <v>55</v>
      </c>
      <c r="E23" s="10" t="s">
        <v>56</v>
      </c>
      <c r="F23" s="11" t="s">
        <v>22</v>
      </c>
      <c r="G23" s="11" t="e">
        <f aca="false">VLOOKUP(D23,'DATABASE RO'!$B$3:$M$299,4,0)</f>
        <v>#N/A</v>
      </c>
      <c r="H23" s="11" t="e">
        <f aca="false">VLOOKUP(D23,'DATABASE RO'!$B$3:$M$299,5,0)</f>
        <v>#N/A</v>
      </c>
      <c r="I23" s="11" t="e">
        <f aca="false">VLOOKUP(D23,'DATABASE RO'!$B$3:$M$299,6,0)</f>
        <v>#N/A</v>
      </c>
      <c r="J23" s="11" t="e">
        <f aca="false">VLOOKUP(D23,'DATABASE RO'!$B$3:$M$299,7,0)</f>
        <v>#N/A</v>
      </c>
      <c r="K23" s="11" t="e">
        <f aca="false">VLOOKUP(D23,'DATABASE RO'!$B$3:$M$299,8,0)</f>
        <v>#N/A</v>
      </c>
      <c r="L23" s="11" t="e">
        <f aca="false">VLOOKUP(D23,'DATABASE RO'!$B$3:$M$299,9,0)</f>
        <v>#N/A</v>
      </c>
      <c r="M23" s="11" t="e">
        <f aca="false">VLOOKUP(D23,'DATABASE RO'!$B$3:$M$299,10,0)</f>
        <v>#N/A</v>
      </c>
      <c r="N23" s="11"/>
      <c r="O23" s="11" t="e">
        <f aca="false">VLOOKUP(D23,'DATABASE RO'!$B$3:$M$299,12,0)</f>
        <v>#N/A</v>
      </c>
      <c r="P23" s="11"/>
      <c r="S23" s="9" t="str">
        <f aca="false">B23</f>
        <v>P2</v>
      </c>
      <c r="T23" s="9" t="str">
        <f aca="false">C23</f>
        <v>KENDAL</v>
      </c>
      <c r="U23" s="9" t="str">
        <f aca="false">D23</f>
        <v>1063120250104901</v>
      </c>
      <c r="V23" s="9" t="str">
        <f aca="false">E23</f>
        <v>PURNOMOSIDI</v>
      </c>
      <c r="W23" s="10"/>
      <c r="X23" s="11" t="str">
        <f aca="false">VLOOKUP(V23,'DATABASE RO'!$C$3:$M$185,3,0)</f>
        <v>P19002058659                  </v>
      </c>
      <c r="Y23" s="11" t="str">
        <f aca="false">VLOOKUP(V23,'DATABASE RO'!$C$3:$M$185,4,0)</f>
        <v>YES</v>
      </c>
      <c r="Z23" s="11" t="str">
        <f aca="false">VLOOKUP(V23,'DATABASE RO'!$C$3:$M$185,5,0)</f>
        <v>PERUM GRAHA RAYA NO. 265 RT 008 /RW 010, Sarirejo, Kaliwungu, KAB-Kendal, 51372</v>
      </c>
      <c r="AA23" s="11" t="str">
        <f aca="false">VLOOKUP(V23,'DATABASE RO'!$C$3:$M$185,6,0)</f>
        <v>Sarirejo</v>
      </c>
      <c r="AB23" s="11" t="str">
        <f aca="false">VLOOKUP(V23,'DATABASE RO'!$C$3:$M$185,7,0)</f>
        <v>Kaliwungu</v>
      </c>
      <c r="AC23" s="11" t="str">
        <f aca="false">VLOOKUP(V23,'DATABASE RO'!$C$3:$M$185,8,0)</f>
        <v>http://maps.google.com/maps?z=12&amp;t=m&amp;q=loc:-6.942429+110.253472</v>
      </c>
      <c r="AD23" s="11" t="str">
        <f aca="false">VLOOKUP(V23,'DATABASE RO'!$C$3:$M$185,9,0)</f>
        <v>EXCELLENT</v>
      </c>
      <c r="AE23" s="11"/>
      <c r="AF23" s="11" t="str">
        <f aca="false">VLOOKUP(V23,'DATABASE RO'!$C$3:$M$185,11,0)</f>
        <v>0812 - 25579340</v>
      </c>
      <c r="AG23" s="11"/>
      <c r="AJ23" s="9" t="s">
        <v>1</v>
      </c>
      <c r="AK23" s="10" t="str">
        <f aca="false">B23</f>
        <v>P2</v>
      </c>
      <c r="AL23" s="10" t="str">
        <f aca="false">C23</f>
        <v>KENDAL</v>
      </c>
      <c r="AM23" s="10" t="str">
        <f aca="false">D23</f>
        <v>1063120250104901</v>
      </c>
      <c r="AN23" s="10" t="str">
        <f aca="false">E23</f>
        <v>PURNOMOSIDI</v>
      </c>
      <c r="AO23" s="10" t="str">
        <f aca="false">F23</f>
        <v>Konsumen Aktif M 0 - 6 Lunas</v>
      </c>
      <c r="AP23" s="11" t="str">
        <f aca="false">IFERROR(G23,X23)</f>
        <v>P19002058659                  </v>
      </c>
      <c r="AQ23" s="11" t="str">
        <f aca="false">IFERROR(H23,Y23)</f>
        <v>YES</v>
      </c>
      <c r="AR23" s="11" t="str">
        <f aca="false">IFERROR(I23,Z23)</f>
        <v>PERUM GRAHA RAYA NO. 265 RT 008 /RW 010, Sarirejo, Kaliwungu, KAB-Kendal, 51372</v>
      </c>
      <c r="AS23" s="11" t="str">
        <f aca="false">IFERROR(J23,AA23)</f>
        <v>Sarirejo</v>
      </c>
      <c r="AT23" s="11" t="str">
        <f aca="false">IFERROR(K23,AB23)</f>
        <v>Kaliwungu</v>
      </c>
      <c r="AU23" s="11" t="str">
        <f aca="false">IFERROR(L23,AC23)</f>
        <v>http://maps.google.com/maps?z=12&amp;t=m&amp;q=loc:-6.942429+110.253472</v>
      </c>
      <c r="AV23" s="11" t="str">
        <f aca="false">IFERROR(M23,AD23)</f>
        <v>EXCELLENT</v>
      </c>
      <c r="AW23" s="11" t="n">
        <f aca="false">IFERROR(N23,AE23)</f>
        <v>0</v>
      </c>
      <c r="AX23" s="11" t="str">
        <f aca="false">IFERROR(O23,AF23)</f>
        <v>0812 - 25579340</v>
      </c>
    </row>
    <row r="24" customFormat="false" ht="15.75" hidden="false" customHeight="true" outlineLevel="0" collapsed="false">
      <c r="A24" s="9" t="s">
        <v>1</v>
      </c>
      <c r="B24" s="10" t="s">
        <v>18</v>
      </c>
      <c r="C24" s="10" t="s">
        <v>19</v>
      </c>
      <c r="D24" s="10" t="s">
        <v>57</v>
      </c>
      <c r="E24" s="10" t="s">
        <v>58</v>
      </c>
      <c r="F24" s="11" t="s">
        <v>22</v>
      </c>
      <c r="G24" s="11" t="e">
        <f aca="false">VLOOKUP(D24,'DATABASE RO'!$B$3:$M$299,4,0)</f>
        <v>#N/A</v>
      </c>
      <c r="H24" s="11" t="e">
        <f aca="false">VLOOKUP(D24,'DATABASE RO'!$B$3:$M$299,5,0)</f>
        <v>#N/A</v>
      </c>
      <c r="I24" s="11" t="e">
        <f aca="false">VLOOKUP(D24,'DATABASE RO'!$B$3:$M$299,6,0)</f>
        <v>#N/A</v>
      </c>
      <c r="J24" s="11" t="e">
        <f aca="false">VLOOKUP(D24,'DATABASE RO'!$B$3:$M$299,7,0)</f>
        <v>#N/A</v>
      </c>
      <c r="K24" s="11" t="e">
        <f aca="false">VLOOKUP(D24,'DATABASE RO'!$B$3:$M$299,8,0)</f>
        <v>#N/A</v>
      </c>
      <c r="L24" s="11" t="e">
        <f aca="false">VLOOKUP(D24,'DATABASE RO'!$B$3:$M$299,9,0)</f>
        <v>#N/A</v>
      </c>
      <c r="M24" s="11" t="e">
        <f aca="false">VLOOKUP(D24,'DATABASE RO'!$B$3:$M$299,10,0)</f>
        <v>#N/A</v>
      </c>
      <c r="N24" s="11"/>
      <c r="O24" s="11" t="e">
        <f aca="false">VLOOKUP(D24,'DATABASE RO'!$B$3:$M$299,12,0)</f>
        <v>#N/A</v>
      </c>
      <c r="P24" s="11"/>
      <c r="S24" s="9" t="str">
        <f aca="false">B24</f>
        <v>P2</v>
      </c>
      <c r="T24" s="9" t="str">
        <f aca="false">C24</f>
        <v>KENDAL</v>
      </c>
      <c r="U24" s="9" t="str">
        <f aca="false">D24</f>
        <v>1063120250104907</v>
      </c>
      <c r="V24" s="9" t="str">
        <f aca="false">E24</f>
        <v>TITIN GIARSI</v>
      </c>
      <c r="W24" s="10"/>
      <c r="X24" s="11" t="e">
        <f aca="false">VLOOKUP(V24,'DATABASE RO'!$C$3:$M$185,3,0)</f>
        <v>#N/A</v>
      </c>
      <c r="Y24" s="11" t="e">
        <f aca="false">VLOOKUP(V24,'DATABASE RO'!$C$3:$M$185,4,0)</f>
        <v>#N/A</v>
      </c>
      <c r="Z24" s="11" t="e">
        <f aca="false">VLOOKUP(V24,'DATABASE RO'!$C$3:$M$185,5,0)</f>
        <v>#N/A</v>
      </c>
      <c r="AA24" s="11" t="e">
        <f aca="false">VLOOKUP(V24,'DATABASE RO'!$C$3:$M$185,6,0)</f>
        <v>#N/A</v>
      </c>
      <c r="AB24" s="11" t="e">
        <f aca="false">VLOOKUP(V24,'DATABASE RO'!$C$3:$M$185,7,0)</f>
        <v>#N/A</v>
      </c>
      <c r="AC24" s="11" t="e">
        <f aca="false">VLOOKUP(V24,'DATABASE RO'!$C$3:$M$185,8,0)</f>
        <v>#N/A</v>
      </c>
      <c r="AD24" s="11" t="e">
        <f aca="false">VLOOKUP(V24,'DATABASE RO'!$C$3:$M$185,9,0)</f>
        <v>#N/A</v>
      </c>
      <c r="AE24" s="11"/>
      <c r="AF24" s="11" t="e">
        <f aca="false">VLOOKUP(V24,'DATABASE RO'!$C$3:$M$185,11,0)</f>
        <v>#N/A</v>
      </c>
      <c r="AG24" s="11"/>
      <c r="AJ24" s="9" t="s">
        <v>1</v>
      </c>
      <c r="AK24" s="10" t="str">
        <f aca="false">B24</f>
        <v>P2</v>
      </c>
      <c r="AL24" s="10" t="str">
        <f aca="false">C24</f>
        <v>KENDAL</v>
      </c>
      <c r="AM24" s="10" t="str">
        <f aca="false">D24</f>
        <v>1063120250104907</v>
      </c>
      <c r="AN24" s="10" t="str">
        <f aca="false">E24</f>
        <v>TITIN GIARSI</v>
      </c>
      <c r="AO24" s="10" t="str">
        <f aca="false">F24</f>
        <v>Konsumen Aktif M 0 - 6 Lunas</v>
      </c>
      <c r="AP24" s="11" t="e">
        <f aca="false">IFERROR(G24,X24)</f>
        <v>#N/A</v>
      </c>
      <c r="AQ24" s="11" t="e">
        <f aca="false">IFERROR(H24,Y24)</f>
        <v>#N/A</v>
      </c>
      <c r="AR24" s="11" t="e">
        <f aca="false">IFERROR(I24,Z24)</f>
        <v>#N/A</v>
      </c>
      <c r="AS24" s="11" t="e">
        <f aca="false">IFERROR(J24,AA24)</f>
        <v>#N/A</v>
      </c>
      <c r="AT24" s="11" t="e">
        <f aca="false">IFERROR(K24,AB24)</f>
        <v>#N/A</v>
      </c>
      <c r="AU24" s="11" t="e">
        <f aca="false">IFERROR(L24,AC24)</f>
        <v>#N/A</v>
      </c>
      <c r="AV24" s="11" t="e">
        <f aca="false">IFERROR(M24,AD24)</f>
        <v>#N/A</v>
      </c>
      <c r="AW24" s="11" t="n">
        <f aca="false">IFERROR(N24,AE24)</f>
        <v>0</v>
      </c>
      <c r="AX24" s="11" t="e">
        <f aca="false">IFERROR(O24,AF24)</f>
        <v>#N/A</v>
      </c>
    </row>
    <row r="25" customFormat="false" ht="15.75" hidden="false" customHeight="true" outlineLevel="0" collapsed="false">
      <c r="A25" s="9" t="s">
        <v>1</v>
      </c>
      <c r="B25" s="10" t="s">
        <v>18</v>
      </c>
      <c r="C25" s="10" t="s">
        <v>19</v>
      </c>
      <c r="D25" s="10" t="s">
        <v>59</v>
      </c>
      <c r="E25" s="10" t="s">
        <v>60</v>
      </c>
      <c r="F25" s="11" t="s">
        <v>22</v>
      </c>
      <c r="G25" s="11" t="e">
        <f aca="false">VLOOKUP(D25,'DATABASE RO'!$B$3:$M$299,4,0)</f>
        <v>#N/A</v>
      </c>
      <c r="H25" s="11" t="e">
        <f aca="false">VLOOKUP(D25,'DATABASE RO'!$B$3:$M$299,5,0)</f>
        <v>#N/A</v>
      </c>
      <c r="I25" s="11" t="e">
        <f aca="false">VLOOKUP(D25,'DATABASE RO'!$B$3:$M$299,6,0)</f>
        <v>#N/A</v>
      </c>
      <c r="J25" s="11" t="e">
        <f aca="false">VLOOKUP(D25,'DATABASE RO'!$B$3:$M$299,7,0)</f>
        <v>#N/A</v>
      </c>
      <c r="K25" s="11" t="e">
        <f aca="false">VLOOKUP(D25,'DATABASE RO'!$B$3:$M$299,8,0)</f>
        <v>#N/A</v>
      </c>
      <c r="L25" s="11" t="e">
        <f aca="false">VLOOKUP(D25,'DATABASE RO'!$B$3:$M$299,9,0)</f>
        <v>#N/A</v>
      </c>
      <c r="M25" s="11" t="e">
        <f aca="false">VLOOKUP(D25,'DATABASE RO'!$B$3:$M$299,10,0)</f>
        <v>#N/A</v>
      </c>
      <c r="N25" s="11"/>
      <c r="O25" s="11" t="e">
        <f aca="false">VLOOKUP(D25,'DATABASE RO'!$B$3:$M$299,12,0)</f>
        <v>#N/A</v>
      </c>
      <c r="P25" s="11"/>
      <c r="S25" s="9" t="str">
        <f aca="false">B25</f>
        <v>P2</v>
      </c>
      <c r="T25" s="9" t="str">
        <f aca="false">C25</f>
        <v>KENDAL</v>
      </c>
      <c r="U25" s="9" t="str">
        <f aca="false">D25</f>
        <v>1063120250204915</v>
      </c>
      <c r="V25" s="9" t="str">
        <f aca="false">E25</f>
        <v>SITI ROHMAH</v>
      </c>
      <c r="W25" s="10"/>
      <c r="X25" s="11" t="e">
        <f aca="false">VLOOKUP(V25,'DATABASE RO'!$C$3:$M$185,3,0)</f>
        <v>#N/A</v>
      </c>
      <c r="Y25" s="11" t="e">
        <f aca="false">VLOOKUP(V25,'DATABASE RO'!$C$3:$M$185,4,0)</f>
        <v>#N/A</v>
      </c>
      <c r="Z25" s="11" t="e">
        <f aca="false">VLOOKUP(V25,'DATABASE RO'!$C$3:$M$185,5,0)</f>
        <v>#N/A</v>
      </c>
      <c r="AA25" s="11" t="e">
        <f aca="false">VLOOKUP(V25,'DATABASE RO'!$C$3:$M$185,6,0)</f>
        <v>#N/A</v>
      </c>
      <c r="AB25" s="11" t="e">
        <f aca="false">VLOOKUP(V25,'DATABASE RO'!$C$3:$M$185,7,0)</f>
        <v>#N/A</v>
      </c>
      <c r="AC25" s="11" t="e">
        <f aca="false">VLOOKUP(V25,'DATABASE RO'!$C$3:$M$185,8,0)</f>
        <v>#N/A</v>
      </c>
      <c r="AD25" s="11" t="e">
        <f aca="false">VLOOKUP(V25,'DATABASE RO'!$C$3:$M$185,9,0)</f>
        <v>#N/A</v>
      </c>
      <c r="AE25" s="11"/>
      <c r="AF25" s="11" t="e">
        <f aca="false">VLOOKUP(V25,'DATABASE RO'!$C$3:$M$185,11,0)</f>
        <v>#N/A</v>
      </c>
      <c r="AG25" s="11"/>
      <c r="AJ25" s="9" t="s">
        <v>1</v>
      </c>
      <c r="AK25" s="10" t="str">
        <f aca="false">B25</f>
        <v>P2</v>
      </c>
      <c r="AL25" s="10" t="str">
        <f aca="false">C25</f>
        <v>KENDAL</v>
      </c>
      <c r="AM25" s="10" t="str">
        <f aca="false">D25</f>
        <v>1063120250204915</v>
      </c>
      <c r="AN25" s="10" t="str">
        <f aca="false">E25</f>
        <v>SITI ROHMAH</v>
      </c>
      <c r="AO25" s="10" t="str">
        <f aca="false">F25</f>
        <v>Konsumen Aktif M 0 - 6 Lunas</v>
      </c>
      <c r="AP25" s="11" t="e">
        <f aca="false">IFERROR(G25,X25)</f>
        <v>#N/A</v>
      </c>
      <c r="AQ25" s="11" t="e">
        <f aca="false">IFERROR(H25,Y25)</f>
        <v>#N/A</v>
      </c>
      <c r="AR25" s="11" t="e">
        <f aca="false">IFERROR(I25,Z25)</f>
        <v>#N/A</v>
      </c>
      <c r="AS25" s="11" t="e">
        <f aca="false">IFERROR(J25,AA25)</f>
        <v>#N/A</v>
      </c>
      <c r="AT25" s="11" t="e">
        <f aca="false">IFERROR(K25,AB25)</f>
        <v>#N/A</v>
      </c>
      <c r="AU25" s="11" t="e">
        <f aca="false">IFERROR(L25,AC25)</f>
        <v>#N/A</v>
      </c>
      <c r="AV25" s="11" t="e">
        <f aca="false">IFERROR(M25,AD25)</f>
        <v>#N/A</v>
      </c>
      <c r="AW25" s="11" t="n">
        <f aca="false">IFERROR(N25,AE25)</f>
        <v>0</v>
      </c>
      <c r="AX25" s="11" t="e">
        <f aca="false">IFERROR(O25,AF25)</f>
        <v>#N/A</v>
      </c>
    </row>
    <row r="26" customFormat="false" ht="15.75" hidden="false" customHeight="true" outlineLevel="0" collapsed="false">
      <c r="A26" s="9" t="s">
        <v>1</v>
      </c>
      <c r="B26" s="10" t="s">
        <v>18</v>
      </c>
      <c r="C26" s="10" t="s">
        <v>19</v>
      </c>
      <c r="D26" s="10" t="s">
        <v>61</v>
      </c>
      <c r="E26" s="10" t="s">
        <v>62</v>
      </c>
      <c r="F26" s="11" t="s">
        <v>22</v>
      </c>
      <c r="G26" s="11" t="e">
        <f aca="false">VLOOKUP(D26,'DATABASE RO'!$B$3:$M$299,4,0)</f>
        <v>#N/A</v>
      </c>
      <c r="H26" s="11" t="e">
        <f aca="false">VLOOKUP(D26,'DATABASE RO'!$B$3:$M$299,5,0)</f>
        <v>#N/A</v>
      </c>
      <c r="I26" s="11" t="e">
        <f aca="false">VLOOKUP(D26,'DATABASE RO'!$B$3:$M$299,6,0)</f>
        <v>#N/A</v>
      </c>
      <c r="J26" s="11" t="e">
        <f aca="false">VLOOKUP(D26,'DATABASE RO'!$B$3:$M$299,7,0)</f>
        <v>#N/A</v>
      </c>
      <c r="K26" s="11" t="e">
        <f aca="false">VLOOKUP(D26,'DATABASE RO'!$B$3:$M$299,8,0)</f>
        <v>#N/A</v>
      </c>
      <c r="L26" s="11" t="e">
        <f aca="false">VLOOKUP(D26,'DATABASE RO'!$B$3:$M$299,9,0)</f>
        <v>#N/A</v>
      </c>
      <c r="M26" s="11" t="e">
        <f aca="false">VLOOKUP(D26,'DATABASE RO'!$B$3:$M$299,10,0)</f>
        <v>#N/A</v>
      </c>
      <c r="N26" s="11"/>
      <c r="O26" s="11" t="e">
        <f aca="false">VLOOKUP(D26,'DATABASE RO'!$B$3:$M$299,12,0)</f>
        <v>#N/A</v>
      </c>
      <c r="P26" s="11"/>
      <c r="S26" s="9" t="str">
        <f aca="false">B26</f>
        <v>P2</v>
      </c>
      <c r="T26" s="9" t="str">
        <f aca="false">C26</f>
        <v>KENDAL</v>
      </c>
      <c r="U26" s="9" t="str">
        <f aca="false">D26</f>
        <v>1063120250204922</v>
      </c>
      <c r="V26" s="9" t="str">
        <f aca="false">E26</f>
        <v>AHMAD SAIFUL</v>
      </c>
      <c r="W26" s="10"/>
      <c r="X26" s="11" t="e">
        <f aca="false">VLOOKUP(V26,'DATABASE RO'!$C$3:$M$185,3,0)</f>
        <v>#N/A</v>
      </c>
      <c r="Y26" s="11" t="e">
        <f aca="false">VLOOKUP(V26,'DATABASE RO'!$C$3:$M$185,4,0)</f>
        <v>#N/A</v>
      </c>
      <c r="Z26" s="11" t="e">
        <f aca="false">VLOOKUP(V26,'DATABASE RO'!$C$3:$M$185,5,0)</f>
        <v>#N/A</v>
      </c>
      <c r="AA26" s="11" t="e">
        <f aca="false">VLOOKUP(V26,'DATABASE RO'!$C$3:$M$185,6,0)</f>
        <v>#N/A</v>
      </c>
      <c r="AB26" s="11" t="e">
        <f aca="false">VLOOKUP(V26,'DATABASE RO'!$C$3:$M$185,7,0)</f>
        <v>#N/A</v>
      </c>
      <c r="AC26" s="11" t="e">
        <f aca="false">VLOOKUP(V26,'DATABASE RO'!$C$3:$M$185,8,0)</f>
        <v>#N/A</v>
      </c>
      <c r="AD26" s="11" t="e">
        <f aca="false">VLOOKUP(V26,'DATABASE RO'!$C$3:$M$185,9,0)</f>
        <v>#N/A</v>
      </c>
      <c r="AE26" s="11"/>
      <c r="AF26" s="11" t="e">
        <f aca="false">VLOOKUP(V26,'DATABASE RO'!$C$3:$M$185,11,0)</f>
        <v>#N/A</v>
      </c>
      <c r="AG26" s="11"/>
      <c r="AJ26" s="9" t="s">
        <v>1</v>
      </c>
      <c r="AK26" s="10" t="str">
        <f aca="false">B26</f>
        <v>P2</v>
      </c>
      <c r="AL26" s="10" t="str">
        <f aca="false">C26</f>
        <v>KENDAL</v>
      </c>
      <c r="AM26" s="10" t="str">
        <f aca="false">D26</f>
        <v>1063120250204922</v>
      </c>
      <c r="AN26" s="10" t="str">
        <f aca="false">E26</f>
        <v>AHMAD SAIFUL</v>
      </c>
      <c r="AO26" s="10" t="str">
        <f aca="false">F26</f>
        <v>Konsumen Aktif M 0 - 6 Lunas</v>
      </c>
      <c r="AP26" s="11" t="e">
        <f aca="false">IFERROR(G26,X26)</f>
        <v>#N/A</v>
      </c>
      <c r="AQ26" s="11" t="e">
        <f aca="false">IFERROR(H26,Y26)</f>
        <v>#N/A</v>
      </c>
      <c r="AR26" s="11" t="e">
        <f aca="false">IFERROR(I26,Z26)</f>
        <v>#N/A</v>
      </c>
      <c r="AS26" s="11" t="e">
        <f aca="false">IFERROR(J26,AA26)</f>
        <v>#N/A</v>
      </c>
      <c r="AT26" s="11" t="e">
        <f aca="false">IFERROR(K26,AB26)</f>
        <v>#N/A</v>
      </c>
      <c r="AU26" s="11" t="e">
        <f aca="false">IFERROR(L26,AC26)</f>
        <v>#N/A</v>
      </c>
      <c r="AV26" s="11" t="e">
        <f aca="false">IFERROR(M26,AD26)</f>
        <v>#N/A</v>
      </c>
      <c r="AW26" s="11" t="n">
        <f aca="false">IFERROR(N26,AE26)</f>
        <v>0</v>
      </c>
      <c r="AX26" s="11" t="e">
        <f aca="false">IFERROR(O26,AF26)</f>
        <v>#N/A</v>
      </c>
    </row>
    <row r="27" customFormat="false" ht="15.75" hidden="false" customHeight="true" outlineLevel="0" collapsed="false">
      <c r="A27" s="9" t="s">
        <v>1</v>
      </c>
      <c r="B27" s="10" t="s">
        <v>18</v>
      </c>
      <c r="C27" s="10" t="s">
        <v>19</v>
      </c>
      <c r="D27" s="10" t="s">
        <v>63</v>
      </c>
      <c r="E27" s="10" t="s">
        <v>64</v>
      </c>
      <c r="F27" s="11" t="s">
        <v>22</v>
      </c>
      <c r="G27" s="11" t="e">
        <f aca="false">VLOOKUP(D27,'DATABASE RO'!$B$3:$M$299,4,0)</f>
        <v>#N/A</v>
      </c>
      <c r="H27" s="11" t="e">
        <f aca="false">VLOOKUP(D27,'DATABASE RO'!$B$3:$M$299,5,0)</f>
        <v>#N/A</v>
      </c>
      <c r="I27" s="11" t="e">
        <f aca="false">VLOOKUP(D27,'DATABASE RO'!$B$3:$M$299,6,0)</f>
        <v>#N/A</v>
      </c>
      <c r="J27" s="11" t="e">
        <f aca="false">VLOOKUP(D27,'DATABASE RO'!$B$3:$M$299,7,0)</f>
        <v>#N/A</v>
      </c>
      <c r="K27" s="11" t="e">
        <f aca="false">VLOOKUP(D27,'DATABASE RO'!$B$3:$M$299,8,0)</f>
        <v>#N/A</v>
      </c>
      <c r="L27" s="11" t="e">
        <f aca="false">VLOOKUP(D27,'DATABASE RO'!$B$3:$M$299,9,0)</f>
        <v>#N/A</v>
      </c>
      <c r="M27" s="11" t="e">
        <f aca="false">VLOOKUP(D27,'DATABASE RO'!$B$3:$M$299,10,0)</f>
        <v>#N/A</v>
      </c>
      <c r="N27" s="11"/>
      <c r="O27" s="11" t="e">
        <f aca="false">VLOOKUP(D27,'DATABASE RO'!$B$3:$M$299,12,0)</f>
        <v>#N/A</v>
      </c>
      <c r="P27" s="11"/>
      <c r="S27" s="9" t="str">
        <f aca="false">B27</f>
        <v>P2</v>
      </c>
      <c r="T27" s="9" t="str">
        <f aca="false">C27</f>
        <v>KENDAL</v>
      </c>
      <c r="U27" s="9" t="str">
        <f aca="false">D27</f>
        <v>1063120250204926</v>
      </c>
      <c r="V27" s="9" t="str">
        <f aca="false">E27</f>
        <v>Sumarno</v>
      </c>
      <c r="W27" s="10"/>
      <c r="X27" s="11" t="e">
        <f aca="false">VLOOKUP(V27,'DATABASE RO'!$C$3:$M$185,3,0)</f>
        <v>#N/A</v>
      </c>
      <c r="Y27" s="11" t="e">
        <f aca="false">VLOOKUP(V27,'DATABASE RO'!$C$3:$M$185,4,0)</f>
        <v>#N/A</v>
      </c>
      <c r="Z27" s="11" t="e">
        <f aca="false">VLOOKUP(V27,'DATABASE RO'!$C$3:$M$185,5,0)</f>
        <v>#N/A</v>
      </c>
      <c r="AA27" s="11" t="e">
        <f aca="false">VLOOKUP(V27,'DATABASE RO'!$C$3:$M$185,6,0)</f>
        <v>#N/A</v>
      </c>
      <c r="AB27" s="11" t="e">
        <f aca="false">VLOOKUP(V27,'DATABASE RO'!$C$3:$M$185,7,0)</f>
        <v>#N/A</v>
      </c>
      <c r="AC27" s="11" t="e">
        <f aca="false">VLOOKUP(V27,'DATABASE RO'!$C$3:$M$185,8,0)</f>
        <v>#N/A</v>
      </c>
      <c r="AD27" s="11" t="e">
        <f aca="false">VLOOKUP(V27,'DATABASE RO'!$C$3:$M$185,9,0)</f>
        <v>#N/A</v>
      </c>
      <c r="AE27" s="11"/>
      <c r="AF27" s="11" t="e">
        <f aca="false">VLOOKUP(V27,'DATABASE RO'!$C$3:$M$185,11,0)</f>
        <v>#N/A</v>
      </c>
      <c r="AG27" s="11"/>
      <c r="AJ27" s="9" t="s">
        <v>1</v>
      </c>
      <c r="AK27" s="10" t="str">
        <f aca="false">B27</f>
        <v>P2</v>
      </c>
      <c r="AL27" s="10" t="str">
        <f aca="false">C27</f>
        <v>KENDAL</v>
      </c>
      <c r="AM27" s="10" t="str">
        <f aca="false">D27</f>
        <v>1063120250204926</v>
      </c>
      <c r="AN27" s="10" t="str">
        <f aca="false">E27</f>
        <v>Sumarno</v>
      </c>
      <c r="AO27" s="10" t="str">
        <f aca="false">F27</f>
        <v>Konsumen Aktif M 0 - 6 Lunas</v>
      </c>
      <c r="AP27" s="11" t="e">
        <f aca="false">IFERROR(G27,X27)</f>
        <v>#N/A</v>
      </c>
      <c r="AQ27" s="11" t="e">
        <f aca="false">IFERROR(H27,Y27)</f>
        <v>#N/A</v>
      </c>
      <c r="AR27" s="11" t="e">
        <f aca="false">IFERROR(I27,Z27)</f>
        <v>#N/A</v>
      </c>
      <c r="AS27" s="11" t="e">
        <f aca="false">IFERROR(J27,AA27)</f>
        <v>#N/A</v>
      </c>
      <c r="AT27" s="11" t="e">
        <f aca="false">IFERROR(K27,AB27)</f>
        <v>#N/A</v>
      </c>
      <c r="AU27" s="11" t="e">
        <f aca="false">IFERROR(L27,AC27)</f>
        <v>#N/A</v>
      </c>
      <c r="AV27" s="11" t="e">
        <f aca="false">IFERROR(M27,AD27)</f>
        <v>#N/A</v>
      </c>
      <c r="AW27" s="11" t="n">
        <f aca="false">IFERROR(N27,AE27)</f>
        <v>0</v>
      </c>
      <c r="AX27" s="11" t="e">
        <f aca="false">IFERROR(O27,AF27)</f>
        <v>#N/A</v>
      </c>
    </row>
    <row r="28" customFormat="false" ht="15.75" hidden="false" customHeight="true" outlineLevel="0" collapsed="false">
      <c r="A28" s="9" t="s">
        <v>1</v>
      </c>
      <c r="B28" s="10" t="s">
        <v>18</v>
      </c>
      <c r="C28" s="10" t="s">
        <v>19</v>
      </c>
      <c r="D28" s="10" t="s">
        <v>65</v>
      </c>
      <c r="E28" s="10" t="s">
        <v>66</v>
      </c>
      <c r="F28" s="11" t="s">
        <v>22</v>
      </c>
      <c r="G28" s="11" t="e">
        <f aca="false">VLOOKUP(D28,'DATABASE RO'!$B$3:$M$299,4,0)</f>
        <v>#N/A</v>
      </c>
      <c r="H28" s="11" t="e">
        <f aca="false">VLOOKUP(D28,'DATABASE RO'!$B$3:$M$299,5,0)</f>
        <v>#N/A</v>
      </c>
      <c r="I28" s="11" t="e">
        <f aca="false">VLOOKUP(D28,'DATABASE RO'!$B$3:$M$299,6,0)</f>
        <v>#N/A</v>
      </c>
      <c r="J28" s="11" t="e">
        <f aca="false">VLOOKUP(D28,'DATABASE RO'!$B$3:$M$299,7,0)</f>
        <v>#N/A</v>
      </c>
      <c r="K28" s="11" t="e">
        <f aca="false">VLOOKUP(D28,'DATABASE RO'!$B$3:$M$299,8,0)</f>
        <v>#N/A</v>
      </c>
      <c r="L28" s="11" t="e">
        <f aca="false">VLOOKUP(D28,'DATABASE RO'!$B$3:$M$299,9,0)</f>
        <v>#N/A</v>
      </c>
      <c r="M28" s="11" t="e">
        <f aca="false">VLOOKUP(D28,'DATABASE RO'!$B$3:$M$299,10,0)</f>
        <v>#N/A</v>
      </c>
      <c r="N28" s="11"/>
      <c r="O28" s="11" t="e">
        <f aca="false">VLOOKUP(D28,'DATABASE RO'!$B$3:$M$299,12,0)</f>
        <v>#N/A</v>
      </c>
      <c r="P28" s="11"/>
      <c r="S28" s="9" t="str">
        <f aca="false">B28</f>
        <v>P2</v>
      </c>
      <c r="T28" s="9" t="str">
        <f aca="false">C28</f>
        <v>KENDAL</v>
      </c>
      <c r="U28" s="9" t="str">
        <f aca="false">D28</f>
        <v>1063120250204928</v>
      </c>
      <c r="V28" s="9" t="str">
        <f aca="false">E28</f>
        <v>Eli Finafatul Munawaroh</v>
      </c>
      <c r="W28" s="10"/>
      <c r="X28" s="11" t="e">
        <f aca="false">VLOOKUP(V28,'DATABASE RO'!$C$3:$M$185,3,0)</f>
        <v>#N/A</v>
      </c>
      <c r="Y28" s="11" t="e">
        <f aca="false">VLOOKUP(V28,'DATABASE RO'!$C$3:$M$185,4,0)</f>
        <v>#N/A</v>
      </c>
      <c r="Z28" s="11" t="e">
        <f aca="false">VLOOKUP(V28,'DATABASE RO'!$C$3:$M$185,5,0)</f>
        <v>#N/A</v>
      </c>
      <c r="AA28" s="11" t="e">
        <f aca="false">VLOOKUP(V28,'DATABASE RO'!$C$3:$M$185,6,0)</f>
        <v>#N/A</v>
      </c>
      <c r="AB28" s="11" t="e">
        <f aca="false">VLOOKUP(V28,'DATABASE RO'!$C$3:$M$185,7,0)</f>
        <v>#N/A</v>
      </c>
      <c r="AC28" s="11" t="e">
        <f aca="false">VLOOKUP(V28,'DATABASE RO'!$C$3:$M$185,8,0)</f>
        <v>#N/A</v>
      </c>
      <c r="AD28" s="11" t="e">
        <f aca="false">VLOOKUP(V28,'DATABASE RO'!$C$3:$M$185,9,0)</f>
        <v>#N/A</v>
      </c>
      <c r="AE28" s="11"/>
      <c r="AF28" s="11" t="e">
        <f aca="false">VLOOKUP(V28,'DATABASE RO'!$C$3:$M$185,11,0)</f>
        <v>#N/A</v>
      </c>
      <c r="AG28" s="11"/>
      <c r="AJ28" s="9" t="s">
        <v>1</v>
      </c>
      <c r="AK28" s="10" t="str">
        <f aca="false">B28</f>
        <v>P2</v>
      </c>
      <c r="AL28" s="10" t="str">
        <f aca="false">C28</f>
        <v>KENDAL</v>
      </c>
      <c r="AM28" s="10" t="str">
        <f aca="false">D28</f>
        <v>1063120250204928</v>
      </c>
      <c r="AN28" s="10" t="str">
        <f aca="false">E28</f>
        <v>Eli Finafatul Munawaroh</v>
      </c>
      <c r="AO28" s="10" t="str">
        <f aca="false">F28</f>
        <v>Konsumen Aktif M 0 - 6 Lunas</v>
      </c>
      <c r="AP28" s="11" t="e">
        <f aca="false">IFERROR(G28,X28)</f>
        <v>#N/A</v>
      </c>
      <c r="AQ28" s="11" t="e">
        <f aca="false">IFERROR(H28,Y28)</f>
        <v>#N/A</v>
      </c>
      <c r="AR28" s="11" t="e">
        <f aca="false">IFERROR(I28,Z28)</f>
        <v>#N/A</v>
      </c>
      <c r="AS28" s="11" t="e">
        <f aca="false">IFERROR(J28,AA28)</f>
        <v>#N/A</v>
      </c>
      <c r="AT28" s="11" t="e">
        <f aca="false">IFERROR(K28,AB28)</f>
        <v>#N/A</v>
      </c>
      <c r="AU28" s="11" t="e">
        <f aca="false">IFERROR(L28,AC28)</f>
        <v>#N/A</v>
      </c>
      <c r="AV28" s="11" t="e">
        <f aca="false">IFERROR(M28,AD28)</f>
        <v>#N/A</v>
      </c>
      <c r="AW28" s="11" t="n">
        <f aca="false">IFERROR(N28,AE28)</f>
        <v>0</v>
      </c>
      <c r="AX28" s="11" t="e">
        <f aca="false">IFERROR(O28,AF28)</f>
        <v>#N/A</v>
      </c>
    </row>
    <row r="29" customFormat="false" ht="15.75" hidden="false" customHeight="true" outlineLevel="0" collapsed="false">
      <c r="A29" s="10"/>
      <c r="B29" s="10" t="s">
        <v>18</v>
      </c>
      <c r="C29" s="10" t="s">
        <v>19</v>
      </c>
      <c r="D29" s="10" t="s">
        <v>67</v>
      </c>
      <c r="E29" s="10" t="s">
        <v>68</v>
      </c>
      <c r="F29" s="11" t="s">
        <v>22</v>
      </c>
      <c r="G29" s="11" t="str">
        <f aca="false">VLOOKUP(D29,'DATABASE RO'!$B$3:$M$299,4,0)</f>
        <v>CUS063120240608105</v>
      </c>
      <c r="H29" s="11" t="str">
        <f aca="false">VLOOKUP(D29,'DATABASE RO'!$B$3:$M$299,5,0)</f>
        <v>YES</v>
      </c>
      <c r="I29" s="11" t="str">
        <f aca="false">VLOOKUP(D29,'DATABASE RO'!$B$3:$M$299,6,0)</f>
        <v>KEPYAR RT 001 /RW 002, Tlogopayung, Plantungan, KAB-Kendal, 51362</v>
      </c>
      <c r="J29" s="11" t="str">
        <f aca="false">VLOOKUP(D29,'DATABASE RO'!$B$3:$M$299,7,0)</f>
        <v>TLOGOPAYUNG</v>
      </c>
      <c r="K29" s="11" t="str">
        <f aca="false">VLOOKUP(D29,'DATABASE RO'!$B$3:$M$299,8,0)</f>
        <v>PLANTUNGAN</v>
      </c>
      <c r="L29" s="11" t="str">
        <f aca="false">VLOOKUP(D29,'DATABASE RO'!$B$3:$M$299,9,0)</f>
        <v>https://www.google.com/maps?z=12&amp;t=m&amp;q=loc:-7.119953+109.962283</v>
      </c>
      <c r="M29" s="11" t="str">
        <f aca="false">VLOOKUP(D29,'DATABASE RO'!$B$3:$M$299,10,0)</f>
        <v>EXCELLENT</v>
      </c>
      <c r="N29" s="11"/>
      <c r="O29" s="11" t="str">
        <f aca="false">VLOOKUP(D29,'DATABASE RO'!$B$3:$M$299,12,0)</f>
        <v>082313738718</v>
      </c>
      <c r="P29" s="11"/>
      <c r="S29" s="9" t="str">
        <f aca="false">B29</f>
        <v>P2</v>
      </c>
      <c r="T29" s="9" t="str">
        <f aca="false">C29</f>
        <v>KENDAL</v>
      </c>
      <c r="U29" s="9" t="str">
        <f aca="false">D29</f>
        <v>1063120250204930</v>
      </c>
      <c r="V29" s="9" t="str">
        <f aca="false">E29</f>
        <v>ISROPI</v>
      </c>
      <c r="W29" s="10"/>
      <c r="X29" s="11" t="str">
        <f aca="false">VLOOKUP(V29,'DATABASE RO'!$C$3:$M$185,3,0)</f>
        <v>CUS063120240608105</v>
      </c>
      <c r="Y29" s="11" t="str">
        <f aca="false">VLOOKUP(V29,'DATABASE RO'!$C$3:$M$185,4,0)</f>
        <v>YES</v>
      </c>
      <c r="Z29" s="11" t="str">
        <f aca="false">VLOOKUP(V29,'DATABASE RO'!$C$3:$M$185,5,0)</f>
        <v>KEPYAR RT 001 /RW 002, Tlogopayung, Plantungan, KAB-Kendal, 51362</v>
      </c>
      <c r="AA29" s="11" t="str">
        <f aca="false">VLOOKUP(V29,'DATABASE RO'!$C$3:$M$185,6,0)</f>
        <v>TLOGOPAYUNG</v>
      </c>
      <c r="AB29" s="11" t="str">
        <f aca="false">VLOOKUP(V29,'DATABASE RO'!$C$3:$M$185,7,0)</f>
        <v>PLANTUNGAN</v>
      </c>
      <c r="AC29" s="11" t="str">
        <f aca="false">VLOOKUP(V29,'DATABASE RO'!$C$3:$M$185,8,0)</f>
        <v>https://www.google.com/maps?z=12&amp;t=m&amp;q=loc:-7.119953+109.962283</v>
      </c>
      <c r="AD29" s="11" t="str">
        <f aca="false">VLOOKUP(V29,'DATABASE RO'!$C$3:$M$185,9,0)</f>
        <v>EXCELLENT</v>
      </c>
      <c r="AE29" s="11"/>
      <c r="AF29" s="11" t="str">
        <f aca="false">VLOOKUP(V29,'DATABASE RO'!$C$3:$M$185,11,0)</f>
        <v>082313738718</v>
      </c>
      <c r="AG29" s="11"/>
      <c r="AJ29" s="10"/>
      <c r="AK29" s="10" t="str">
        <f aca="false">B29</f>
        <v>P2</v>
      </c>
      <c r="AL29" s="10" t="str">
        <f aca="false">C29</f>
        <v>KENDAL</v>
      </c>
      <c r="AM29" s="10" t="str">
        <f aca="false">D29</f>
        <v>1063120250204930</v>
      </c>
      <c r="AN29" s="10" t="str">
        <f aca="false">E29</f>
        <v>ISROPI</v>
      </c>
      <c r="AO29" s="10" t="str">
        <f aca="false">F29</f>
        <v>Konsumen Aktif M 0 - 6 Lunas</v>
      </c>
      <c r="AP29" s="11" t="str">
        <f aca="false">IFERROR(G29,X29)</f>
        <v>CUS063120240608105</v>
      </c>
      <c r="AQ29" s="11" t="str">
        <f aca="false">IFERROR(H29,Y29)</f>
        <v>YES</v>
      </c>
      <c r="AR29" s="11" t="str">
        <f aca="false">IFERROR(I29,Z29)</f>
        <v>KEPYAR RT 001 /RW 002, Tlogopayung, Plantungan, KAB-Kendal, 51362</v>
      </c>
      <c r="AS29" s="11" t="str">
        <f aca="false">IFERROR(J29,AA29)</f>
        <v>TLOGOPAYUNG</v>
      </c>
      <c r="AT29" s="11" t="str">
        <f aca="false">IFERROR(K29,AB29)</f>
        <v>PLANTUNGAN</v>
      </c>
      <c r="AU29" s="11" t="str">
        <f aca="false">IFERROR(L29,AC29)</f>
        <v>https://www.google.com/maps?z=12&amp;t=m&amp;q=loc:-7.119953+109.962283</v>
      </c>
      <c r="AV29" s="11" t="str">
        <f aca="false">IFERROR(M29,AD29)</f>
        <v>EXCELLENT</v>
      </c>
      <c r="AW29" s="11" t="n">
        <f aca="false">IFERROR(N29,AE29)</f>
        <v>0</v>
      </c>
      <c r="AX29" s="11" t="str">
        <f aca="false">IFERROR(O29,AF29)</f>
        <v>082313738718</v>
      </c>
    </row>
    <row r="30" customFormat="false" ht="15.75" hidden="false" customHeight="true" outlineLevel="0" collapsed="false">
      <c r="A30" s="9" t="s">
        <v>1</v>
      </c>
      <c r="B30" s="10" t="s">
        <v>18</v>
      </c>
      <c r="C30" s="10" t="s">
        <v>19</v>
      </c>
      <c r="D30" s="10" t="s">
        <v>69</v>
      </c>
      <c r="E30" s="10" t="s">
        <v>70</v>
      </c>
      <c r="F30" s="11" t="s">
        <v>22</v>
      </c>
      <c r="G30" s="11" t="e">
        <f aca="false">VLOOKUP(D30,'DATABASE RO'!$B$3:$M$299,4,0)</f>
        <v>#N/A</v>
      </c>
      <c r="H30" s="11" t="e">
        <f aca="false">VLOOKUP(D30,'DATABASE RO'!$B$3:$M$299,5,0)</f>
        <v>#N/A</v>
      </c>
      <c r="I30" s="11" t="e">
        <f aca="false">VLOOKUP(D30,'DATABASE RO'!$B$3:$M$299,6,0)</f>
        <v>#N/A</v>
      </c>
      <c r="J30" s="11" t="e">
        <f aca="false">VLOOKUP(D30,'DATABASE RO'!$B$3:$M$299,7,0)</f>
        <v>#N/A</v>
      </c>
      <c r="K30" s="11" t="e">
        <f aca="false">VLOOKUP(D30,'DATABASE RO'!$B$3:$M$299,8,0)</f>
        <v>#N/A</v>
      </c>
      <c r="L30" s="11" t="e">
        <f aca="false">VLOOKUP(D30,'DATABASE RO'!$B$3:$M$299,9,0)</f>
        <v>#N/A</v>
      </c>
      <c r="M30" s="11" t="e">
        <f aca="false">VLOOKUP(D30,'DATABASE RO'!$B$3:$M$299,10,0)</f>
        <v>#N/A</v>
      </c>
      <c r="N30" s="11"/>
      <c r="O30" s="11" t="e">
        <f aca="false">VLOOKUP(D30,'DATABASE RO'!$B$3:$M$299,12,0)</f>
        <v>#N/A</v>
      </c>
      <c r="P30" s="11"/>
      <c r="S30" s="9" t="str">
        <f aca="false">B30</f>
        <v>P2</v>
      </c>
      <c r="T30" s="9" t="str">
        <f aca="false">C30</f>
        <v>KENDAL</v>
      </c>
      <c r="U30" s="9" t="str">
        <f aca="false">D30</f>
        <v>1063120250304942</v>
      </c>
      <c r="V30" s="9" t="str">
        <f aca="false">E30</f>
        <v>DWI TJONDRO SULISTIYOWATI</v>
      </c>
      <c r="W30" s="10"/>
      <c r="X30" s="11" t="e">
        <f aca="false">VLOOKUP(V30,'DATABASE RO'!$C$3:$M$185,3,0)</f>
        <v>#N/A</v>
      </c>
      <c r="Y30" s="11" t="e">
        <f aca="false">VLOOKUP(V30,'DATABASE RO'!$C$3:$M$185,4,0)</f>
        <v>#N/A</v>
      </c>
      <c r="Z30" s="11" t="e">
        <f aca="false">VLOOKUP(V30,'DATABASE RO'!$C$3:$M$185,5,0)</f>
        <v>#N/A</v>
      </c>
      <c r="AA30" s="11" t="e">
        <f aca="false">VLOOKUP(V30,'DATABASE RO'!$C$3:$M$185,6,0)</f>
        <v>#N/A</v>
      </c>
      <c r="AB30" s="11" t="e">
        <f aca="false">VLOOKUP(V30,'DATABASE RO'!$C$3:$M$185,7,0)</f>
        <v>#N/A</v>
      </c>
      <c r="AC30" s="11" t="e">
        <f aca="false">VLOOKUP(V30,'DATABASE RO'!$C$3:$M$185,8,0)</f>
        <v>#N/A</v>
      </c>
      <c r="AD30" s="11" t="e">
        <f aca="false">VLOOKUP(V30,'DATABASE RO'!$C$3:$M$185,9,0)</f>
        <v>#N/A</v>
      </c>
      <c r="AE30" s="11"/>
      <c r="AF30" s="11" t="e">
        <f aca="false">VLOOKUP(V30,'DATABASE RO'!$C$3:$M$185,11,0)</f>
        <v>#N/A</v>
      </c>
      <c r="AG30" s="11"/>
      <c r="AJ30" s="9" t="s">
        <v>1</v>
      </c>
      <c r="AK30" s="10" t="str">
        <f aca="false">B30</f>
        <v>P2</v>
      </c>
      <c r="AL30" s="10" t="str">
        <f aca="false">C30</f>
        <v>KENDAL</v>
      </c>
      <c r="AM30" s="10" t="str">
        <f aca="false">D30</f>
        <v>1063120250304942</v>
      </c>
      <c r="AN30" s="10" t="str">
        <f aca="false">E30</f>
        <v>DWI TJONDRO SULISTIYOWATI</v>
      </c>
      <c r="AO30" s="10" t="str">
        <f aca="false">F30</f>
        <v>Konsumen Aktif M 0 - 6 Lunas</v>
      </c>
      <c r="AP30" s="11" t="e">
        <f aca="false">IFERROR(G30,X30)</f>
        <v>#N/A</v>
      </c>
      <c r="AQ30" s="11" t="e">
        <f aca="false">IFERROR(H30,Y30)</f>
        <v>#N/A</v>
      </c>
      <c r="AR30" s="11" t="e">
        <f aca="false">IFERROR(I30,Z30)</f>
        <v>#N/A</v>
      </c>
      <c r="AS30" s="11" t="e">
        <f aca="false">IFERROR(J30,AA30)</f>
        <v>#N/A</v>
      </c>
      <c r="AT30" s="11" t="e">
        <f aca="false">IFERROR(K30,AB30)</f>
        <v>#N/A</v>
      </c>
      <c r="AU30" s="11" t="e">
        <f aca="false">IFERROR(L30,AC30)</f>
        <v>#N/A</v>
      </c>
      <c r="AV30" s="11" t="e">
        <f aca="false">IFERROR(M30,AD30)</f>
        <v>#N/A</v>
      </c>
      <c r="AW30" s="11" t="n">
        <f aca="false">IFERROR(N30,AE30)</f>
        <v>0</v>
      </c>
      <c r="AX30" s="11" t="e">
        <f aca="false">IFERROR(O30,AF30)</f>
        <v>#N/A</v>
      </c>
    </row>
    <row r="31" customFormat="false" ht="15.75" hidden="false" customHeight="true" outlineLevel="0" collapsed="false">
      <c r="A31" s="9" t="s">
        <v>1</v>
      </c>
      <c r="B31" s="10" t="s">
        <v>18</v>
      </c>
      <c r="C31" s="10" t="s">
        <v>19</v>
      </c>
      <c r="D31" s="10" t="s">
        <v>71</v>
      </c>
      <c r="E31" s="10" t="s">
        <v>72</v>
      </c>
      <c r="F31" s="11" t="s">
        <v>22</v>
      </c>
      <c r="G31" s="11" t="e">
        <f aca="false">VLOOKUP(D31,'DATABASE RO'!$B$3:$M$299,4,0)</f>
        <v>#N/A</v>
      </c>
      <c r="H31" s="11" t="e">
        <f aca="false">VLOOKUP(D31,'DATABASE RO'!$B$3:$M$299,5,0)</f>
        <v>#N/A</v>
      </c>
      <c r="I31" s="11" t="e">
        <f aca="false">VLOOKUP(D31,'DATABASE RO'!$B$3:$M$299,6,0)</f>
        <v>#N/A</v>
      </c>
      <c r="J31" s="11" t="e">
        <f aca="false">VLOOKUP(D31,'DATABASE RO'!$B$3:$M$299,7,0)</f>
        <v>#N/A</v>
      </c>
      <c r="K31" s="11" t="e">
        <f aca="false">VLOOKUP(D31,'DATABASE RO'!$B$3:$M$299,8,0)</f>
        <v>#N/A</v>
      </c>
      <c r="L31" s="11" t="e">
        <f aca="false">VLOOKUP(D31,'DATABASE RO'!$B$3:$M$299,9,0)</f>
        <v>#N/A</v>
      </c>
      <c r="M31" s="11" t="e">
        <f aca="false">VLOOKUP(D31,'DATABASE RO'!$B$3:$M$299,10,0)</f>
        <v>#N/A</v>
      </c>
      <c r="N31" s="11"/>
      <c r="O31" s="11" t="e">
        <f aca="false">VLOOKUP(D31,'DATABASE RO'!$B$3:$M$299,12,0)</f>
        <v>#N/A</v>
      </c>
      <c r="P31" s="11"/>
      <c r="S31" s="9" t="str">
        <f aca="false">B31</f>
        <v>P2</v>
      </c>
      <c r="T31" s="9" t="str">
        <f aca="false">C31</f>
        <v>KENDAL</v>
      </c>
      <c r="U31" s="9" t="str">
        <f aca="false">D31</f>
        <v>1063120250304964</v>
      </c>
      <c r="V31" s="9" t="str">
        <f aca="false">E31</f>
        <v>SURYANTO</v>
      </c>
      <c r="W31" s="10"/>
      <c r="X31" s="11" t="e">
        <f aca="false">VLOOKUP(V31,'DATABASE RO'!$C$3:$M$185,3,0)</f>
        <v>#N/A</v>
      </c>
      <c r="Y31" s="11" t="e">
        <f aca="false">VLOOKUP(V31,'DATABASE RO'!$C$3:$M$185,4,0)</f>
        <v>#N/A</v>
      </c>
      <c r="Z31" s="11" t="e">
        <f aca="false">VLOOKUP(V31,'DATABASE RO'!$C$3:$M$185,5,0)</f>
        <v>#N/A</v>
      </c>
      <c r="AA31" s="11" t="e">
        <f aca="false">VLOOKUP(V31,'DATABASE RO'!$C$3:$M$185,6,0)</f>
        <v>#N/A</v>
      </c>
      <c r="AB31" s="11" t="e">
        <f aca="false">VLOOKUP(V31,'DATABASE RO'!$C$3:$M$185,7,0)</f>
        <v>#N/A</v>
      </c>
      <c r="AC31" s="11" t="e">
        <f aca="false">VLOOKUP(V31,'DATABASE RO'!$C$3:$M$185,8,0)</f>
        <v>#N/A</v>
      </c>
      <c r="AD31" s="11" t="e">
        <f aca="false">VLOOKUP(V31,'DATABASE RO'!$C$3:$M$185,9,0)</f>
        <v>#N/A</v>
      </c>
      <c r="AE31" s="11"/>
      <c r="AF31" s="11" t="e">
        <f aca="false">VLOOKUP(V31,'DATABASE RO'!$C$3:$M$185,11,0)</f>
        <v>#N/A</v>
      </c>
      <c r="AG31" s="11"/>
      <c r="AJ31" s="9" t="s">
        <v>1</v>
      </c>
      <c r="AK31" s="10" t="str">
        <f aca="false">B31</f>
        <v>P2</v>
      </c>
      <c r="AL31" s="10" t="str">
        <f aca="false">C31</f>
        <v>KENDAL</v>
      </c>
      <c r="AM31" s="10" t="str">
        <f aca="false">D31</f>
        <v>1063120250304964</v>
      </c>
      <c r="AN31" s="10" t="str">
        <f aca="false">E31</f>
        <v>SURYANTO</v>
      </c>
      <c r="AO31" s="10" t="str">
        <f aca="false">F31</f>
        <v>Konsumen Aktif M 0 - 6 Lunas</v>
      </c>
      <c r="AP31" s="11" t="e">
        <f aca="false">IFERROR(G31,X31)</f>
        <v>#N/A</v>
      </c>
      <c r="AQ31" s="11" t="e">
        <f aca="false">IFERROR(H31,Y31)</f>
        <v>#N/A</v>
      </c>
      <c r="AR31" s="11" t="e">
        <f aca="false">IFERROR(I31,Z31)</f>
        <v>#N/A</v>
      </c>
      <c r="AS31" s="11" t="e">
        <f aca="false">IFERROR(J31,AA31)</f>
        <v>#N/A</v>
      </c>
      <c r="AT31" s="11" t="e">
        <f aca="false">IFERROR(K31,AB31)</f>
        <v>#N/A</v>
      </c>
      <c r="AU31" s="11" t="e">
        <f aca="false">IFERROR(L31,AC31)</f>
        <v>#N/A</v>
      </c>
      <c r="AV31" s="11" t="e">
        <f aca="false">IFERROR(M31,AD31)</f>
        <v>#N/A</v>
      </c>
      <c r="AW31" s="11" t="n">
        <f aca="false">IFERROR(N31,AE31)</f>
        <v>0</v>
      </c>
      <c r="AX31" s="11" t="e">
        <f aca="false">IFERROR(O31,AF31)</f>
        <v>#N/A</v>
      </c>
    </row>
    <row r="32" customFormat="false" ht="15.75" hidden="false" customHeight="true" outlineLevel="0" collapsed="false">
      <c r="A32" s="10"/>
      <c r="B32" s="10" t="s">
        <v>18</v>
      </c>
      <c r="C32" s="10" t="s">
        <v>19</v>
      </c>
      <c r="D32" s="10" t="s">
        <v>73</v>
      </c>
      <c r="E32" s="10" t="s">
        <v>74</v>
      </c>
      <c r="F32" s="11" t="s">
        <v>22</v>
      </c>
      <c r="G32" s="11" t="str">
        <f aca="false">VLOOKUP(D32,'DATABASE RO'!$B$3:$M$299,4,0)</f>
        <v>P19002062843                  </v>
      </c>
      <c r="H32" s="11" t="str">
        <f aca="false">VLOOKUP(D32,'DATABASE RO'!$B$3:$M$299,5,0)</f>
        <v>YES</v>
      </c>
      <c r="I32" s="11" t="str">
        <f aca="false">VLOOKUP(D32,'DATABASE RO'!$B$3:$M$299,6,0)</f>
        <v>Krajan RT 003 /RW 001, Karanganyar, Plantungan, KAB-Kendal, 51362</v>
      </c>
      <c r="J32" s="11" t="str">
        <f aca="false">VLOOKUP(D32,'DATABASE RO'!$B$3:$M$299,7,0)</f>
        <v>Karanganyar</v>
      </c>
      <c r="K32" s="11" t="str">
        <f aca="false">VLOOKUP(D32,'DATABASE RO'!$B$3:$M$299,8,0)</f>
        <v>Plantungan</v>
      </c>
      <c r="L32" s="11" t="str">
        <f aca="false">VLOOKUP(D32,'DATABASE RO'!$B$3:$M$299,9,0)</f>
        <v>https://www.google.com/maps?z=12&amp;t=m&amp;q=loc:-7.079079+109.987101</v>
      </c>
      <c r="M32" s="11" t="str">
        <f aca="false">VLOOKUP(D32,'DATABASE RO'!$B$3:$M$299,10,0)</f>
        <v>GOOD</v>
      </c>
      <c r="N32" s="11"/>
      <c r="O32" s="11" t="str">
        <f aca="false">VLOOKUP(D32,'DATABASE RO'!$B$3:$M$299,12,0)</f>
        <v>0877 - 11036604</v>
      </c>
      <c r="P32" s="11"/>
      <c r="S32" s="9" t="str">
        <f aca="false">B32</f>
        <v>P2</v>
      </c>
      <c r="T32" s="9" t="str">
        <f aca="false">C32</f>
        <v>KENDAL</v>
      </c>
      <c r="U32" s="9" t="str">
        <f aca="false">D32</f>
        <v>1063120250404995</v>
      </c>
      <c r="V32" s="9" t="str">
        <f aca="false">E32</f>
        <v>NURSALIM</v>
      </c>
      <c r="W32" s="10"/>
      <c r="X32" s="11" t="str">
        <f aca="false">VLOOKUP(V32,'DATABASE RO'!$C$3:$M$185,3,0)</f>
        <v>P19002062843                  </v>
      </c>
      <c r="Y32" s="11" t="str">
        <f aca="false">VLOOKUP(V32,'DATABASE RO'!$C$3:$M$185,4,0)</f>
        <v>YES</v>
      </c>
      <c r="Z32" s="11" t="str">
        <f aca="false">VLOOKUP(V32,'DATABASE RO'!$C$3:$M$185,5,0)</f>
        <v>Krajan RT 003 /RW 001, Karanganyar, Plantungan, KAB-Kendal, 51362</v>
      </c>
      <c r="AA32" s="11" t="str">
        <f aca="false">VLOOKUP(V32,'DATABASE RO'!$C$3:$M$185,6,0)</f>
        <v>Karanganyar</v>
      </c>
      <c r="AB32" s="11" t="str">
        <f aca="false">VLOOKUP(V32,'DATABASE RO'!$C$3:$M$185,7,0)</f>
        <v>Plantungan</v>
      </c>
      <c r="AC32" s="11" t="str">
        <f aca="false">VLOOKUP(V32,'DATABASE RO'!$C$3:$M$185,8,0)</f>
        <v>https://www.google.com/maps?z=12&amp;t=m&amp;q=loc:-7.079079+109.987101</v>
      </c>
      <c r="AD32" s="11" t="str">
        <f aca="false">VLOOKUP(V32,'DATABASE RO'!$C$3:$M$185,9,0)</f>
        <v>GOOD</v>
      </c>
      <c r="AE32" s="11"/>
      <c r="AF32" s="11" t="str">
        <f aca="false">VLOOKUP(V32,'DATABASE RO'!$C$3:$M$185,11,0)</f>
        <v>0877 - 11036604</v>
      </c>
      <c r="AG32" s="11"/>
      <c r="AJ32" s="10"/>
      <c r="AK32" s="10" t="str">
        <f aca="false">B32</f>
        <v>P2</v>
      </c>
      <c r="AL32" s="10" t="str">
        <f aca="false">C32</f>
        <v>KENDAL</v>
      </c>
      <c r="AM32" s="10" t="str">
        <f aca="false">D32</f>
        <v>1063120250404995</v>
      </c>
      <c r="AN32" s="10" t="str">
        <f aca="false">E32</f>
        <v>NURSALIM</v>
      </c>
      <c r="AO32" s="10" t="str">
        <f aca="false">F32</f>
        <v>Konsumen Aktif M 0 - 6 Lunas</v>
      </c>
      <c r="AP32" s="11" t="str">
        <f aca="false">IFERROR(G32,X32)</f>
        <v>P19002062843                  </v>
      </c>
      <c r="AQ32" s="11" t="str">
        <f aca="false">IFERROR(H32,Y32)</f>
        <v>YES</v>
      </c>
      <c r="AR32" s="11" t="str">
        <f aca="false">IFERROR(I32,Z32)</f>
        <v>Krajan RT 003 /RW 001, Karanganyar, Plantungan, KAB-Kendal, 51362</v>
      </c>
      <c r="AS32" s="11" t="str">
        <f aca="false">IFERROR(J32,AA32)</f>
        <v>Karanganyar</v>
      </c>
      <c r="AT32" s="11" t="str">
        <f aca="false">IFERROR(K32,AB32)</f>
        <v>Plantungan</v>
      </c>
      <c r="AU32" s="11" t="str">
        <f aca="false">IFERROR(L32,AC32)</f>
        <v>https://www.google.com/maps?z=12&amp;t=m&amp;q=loc:-7.079079+109.987101</v>
      </c>
      <c r="AV32" s="11" t="str">
        <f aca="false">IFERROR(M32,AD32)</f>
        <v>GOOD</v>
      </c>
      <c r="AW32" s="11" t="n">
        <f aca="false">IFERROR(N32,AE32)</f>
        <v>0</v>
      </c>
      <c r="AX32" s="11" t="str">
        <f aca="false">IFERROR(O32,AF32)</f>
        <v>0877 - 11036604</v>
      </c>
    </row>
    <row r="33" customFormat="false" ht="15.75" hidden="false" customHeight="true" outlineLevel="0" collapsed="false">
      <c r="A33" s="10"/>
      <c r="B33" s="10" t="s">
        <v>18</v>
      </c>
      <c r="C33" s="10" t="s">
        <v>19</v>
      </c>
      <c r="D33" s="10" t="s">
        <v>75</v>
      </c>
      <c r="E33" s="10" t="s">
        <v>76</v>
      </c>
      <c r="F33" s="11" t="s">
        <v>22</v>
      </c>
      <c r="G33" s="11" t="str">
        <f aca="false">VLOOKUP(D33,'DATABASE RO'!$B$3:$M$299,4,0)</f>
        <v>P19002064959                  </v>
      </c>
      <c r="H33" s="11" t="str">
        <f aca="false">VLOOKUP(D33,'DATABASE RO'!$B$3:$M$299,5,0)</f>
        <v>YES</v>
      </c>
      <c r="I33" s="11" t="str">
        <f aca="false">VLOOKUP(D33,'DATABASE RO'!$B$3:$M$299,6,0)</f>
        <v>DUSUN GLANDANG RT 001 /RW 004, Kedungsuren, Kaliwungu Selatan, KAB-Kendal, 51372</v>
      </c>
      <c r="J33" s="11" t="str">
        <f aca="false">VLOOKUP(D33,'DATABASE RO'!$B$3:$M$299,7,0)</f>
        <v>Kedungsuren</v>
      </c>
      <c r="K33" s="11" t="str">
        <f aca="false">VLOOKUP(D33,'DATABASE RO'!$B$3:$M$299,8,0)</f>
        <v>Kaliwungu Selatan</v>
      </c>
      <c r="L33" s="11" t="str">
        <f aca="false">VLOOKUP(D33,'DATABASE RO'!$B$3:$M$299,9,0)</f>
        <v>TIDAK ADA</v>
      </c>
      <c r="M33" s="11" t="str">
        <f aca="false">VLOOKUP(D33,'DATABASE RO'!$B$3:$M$299,10,0)</f>
        <v>EXCELLENT</v>
      </c>
      <c r="N33" s="11"/>
      <c r="O33" s="11" t="str">
        <f aca="false">VLOOKUP(D33,'DATABASE RO'!$B$3:$M$299,12,0)</f>
        <v>0882 - 008249080</v>
      </c>
      <c r="P33" s="11"/>
      <c r="S33" s="9" t="str">
        <f aca="false">B33</f>
        <v>P2</v>
      </c>
      <c r="T33" s="9" t="str">
        <f aca="false">C33</f>
        <v>KENDAL</v>
      </c>
      <c r="U33" s="9" t="str">
        <f aca="false">D33</f>
        <v>1063120250505020</v>
      </c>
      <c r="V33" s="9" t="str">
        <f aca="false">E33</f>
        <v>SITI ROYATUN</v>
      </c>
      <c r="W33" s="10"/>
      <c r="X33" s="11" t="str">
        <f aca="false">VLOOKUP(V33,'DATABASE RO'!$C$3:$M$185,3,0)</f>
        <v>P19002064959                  </v>
      </c>
      <c r="Y33" s="11" t="str">
        <f aca="false">VLOOKUP(V33,'DATABASE RO'!$C$3:$M$185,4,0)</f>
        <v>YES</v>
      </c>
      <c r="Z33" s="11" t="str">
        <f aca="false">VLOOKUP(V33,'DATABASE RO'!$C$3:$M$185,5,0)</f>
        <v>DUSUN GLANDANG RT 001 /RW 004, Kedungsuren, Kaliwungu Selatan, KAB-Kendal, 51372</v>
      </c>
      <c r="AA33" s="11" t="str">
        <f aca="false">VLOOKUP(V33,'DATABASE RO'!$C$3:$M$185,6,0)</f>
        <v>Kedungsuren</v>
      </c>
      <c r="AB33" s="11" t="str">
        <f aca="false">VLOOKUP(V33,'DATABASE RO'!$C$3:$M$185,7,0)</f>
        <v>Kaliwungu Selatan</v>
      </c>
      <c r="AC33" s="11" t="str">
        <f aca="false">VLOOKUP(V33,'DATABASE RO'!$C$3:$M$185,8,0)</f>
        <v>TIDAK ADA</v>
      </c>
      <c r="AD33" s="11" t="str">
        <f aca="false">VLOOKUP(V33,'DATABASE RO'!$C$3:$M$185,9,0)</f>
        <v>EXCELLENT</v>
      </c>
      <c r="AE33" s="11"/>
      <c r="AF33" s="11" t="str">
        <f aca="false">VLOOKUP(V33,'DATABASE RO'!$C$3:$M$185,11,0)</f>
        <v>0882 - 008249080</v>
      </c>
      <c r="AG33" s="11"/>
      <c r="AJ33" s="10"/>
      <c r="AK33" s="10" t="str">
        <f aca="false">B33</f>
        <v>P2</v>
      </c>
      <c r="AL33" s="10" t="str">
        <f aca="false">C33</f>
        <v>KENDAL</v>
      </c>
      <c r="AM33" s="10" t="str">
        <f aca="false">D33</f>
        <v>1063120250505020</v>
      </c>
      <c r="AN33" s="10" t="str">
        <f aca="false">E33</f>
        <v>SITI ROYATUN</v>
      </c>
      <c r="AO33" s="10" t="str">
        <f aca="false">F33</f>
        <v>Konsumen Aktif M 0 - 6 Lunas</v>
      </c>
      <c r="AP33" s="11" t="str">
        <f aca="false">IFERROR(G33,X33)</f>
        <v>P19002064959                  </v>
      </c>
      <c r="AQ33" s="11" t="str">
        <f aca="false">IFERROR(H33,Y33)</f>
        <v>YES</v>
      </c>
      <c r="AR33" s="11" t="str">
        <f aca="false">IFERROR(I33,Z33)</f>
        <v>DUSUN GLANDANG RT 001 /RW 004, Kedungsuren, Kaliwungu Selatan, KAB-Kendal, 51372</v>
      </c>
      <c r="AS33" s="11" t="str">
        <f aca="false">IFERROR(J33,AA33)</f>
        <v>Kedungsuren</v>
      </c>
      <c r="AT33" s="11" t="str">
        <f aca="false">IFERROR(K33,AB33)</f>
        <v>Kaliwungu Selatan</v>
      </c>
      <c r="AU33" s="11" t="str">
        <f aca="false">IFERROR(L33,AC33)</f>
        <v>TIDAK ADA</v>
      </c>
      <c r="AV33" s="11" t="str">
        <f aca="false">IFERROR(M33,AD33)</f>
        <v>EXCELLENT</v>
      </c>
      <c r="AW33" s="11" t="n">
        <f aca="false">IFERROR(N33,AE33)</f>
        <v>0</v>
      </c>
      <c r="AX33" s="11" t="str">
        <f aca="false">IFERROR(O33,AF33)</f>
        <v>0882 - 008249080</v>
      </c>
    </row>
    <row r="34" customFormat="false" ht="15.75" hidden="false" customHeight="true" outlineLevel="0" collapsed="false">
      <c r="A34" s="10"/>
      <c r="B34" s="10" t="s">
        <v>18</v>
      </c>
      <c r="C34" s="10" t="s">
        <v>19</v>
      </c>
      <c r="D34" s="10" t="s">
        <v>77</v>
      </c>
      <c r="E34" s="10" t="s">
        <v>78</v>
      </c>
      <c r="F34" s="11" t="s">
        <v>22</v>
      </c>
      <c r="G34" s="11" t="str">
        <f aca="false">VLOOKUP(D34,'DATABASE RO'!$B$3:$M$299,4,0)</f>
        <v>CUS063120210905347            </v>
      </c>
      <c r="H34" s="11" t="str">
        <f aca="false">VLOOKUP(D34,'DATABASE RO'!$B$3:$M$299,5,0)</f>
        <v>NO</v>
      </c>
      <c r="I34" s="11" t="str">
        <f aca="false">VLOOKUP(D34,'DATABASE RO'!$B$3:$M$299,6,0)</f>
        <v>BUMIAYU RT 008 /RW 003, Bumiayu, Weleri, KAB-Kendal, 51355</v>
      </c>
      <c r="J34" s="11" t="str">
        <f aca="false">VLOOKUP(D34,'DATABASE RO'!$B$3:$M$299,7,0)</f>
        <v>Balok</v>
      </c>
      <c r="K34" s="11" t="str">
        <f aca="false">VLOOKUP(D34,'DATABASE RO'!$B$3:$M$299,8,0)</f>
        <v>Kendal</v>
      </c>
      <c r="L34" s="11" t="str">
        <f aca="false">VLOOKUP(D34,'DATABASE RO'!$B$3:$M$299,9,0)</f>
        <v>https://www.google.com/maps?z=12&amp;t=m&amp;q=loc:-6.980049+110.073777</v>
      </c>
      <c r="M34" s="11" t="str">
        <f aca="false">VLOOKUP(D34,'DATABASE RO'!$B$3:$M$299,10,0)</f>
        <v>EXCELLENT</v>
      </c>
      <c r="N34" s="11"/>
      <c r="O34" s="11" t="str">
        <f aca="false">VLOOKUP(D34,'DATABASE RO'!$B$3:$M$299,12,0)</f>
        <v>081904757492</v>
      </c>
      <c r="P34" s="11"/>
      <c r="S34" s="9" t="str">
        <f aca="false">B34</f>
        <v>P2</v>
      </c>
      <c r="T34" s="9" t="str">
        <f aca="false">C34</f>
        <v>KENDAL</v>
      </c>
      <c r="U34" s="9" t="str">
        <f aca="false">D34</f>
        <v>1063120250505029</v>
      </c>
      <c r="V34" s="9" t="str">
        <f aca="false">E34</f>
        <v>Minayati setiani</v>
      </c>
      <c r="W34" s="10"/>
      <c r="X34" s="11" t="str">
        <f aca="false">VLOOKUP(V34,'DATABASE RO'!$C$3:$M$185,3,0)</f>
        <v>CUS063120210905347            </v>
      </c>
      <c r="Y34" s="11" t="str">
        <f aca="false">VLOOKUP(V34,'DATABASE RO'!$C$3:$M$185,4,0)</f>
        <v>NO</v>
      </c>
      <c r="Z34" s="11" t="str">
        <f aca="false">VLOOKUP(V34,'DATABASE RO'!$C$3:$M$185,5,0)</f>
        <v>BUMIAYU RT 008 /RW 003, Bumiayu, Weleri, KAB-Kendal, 51355</v>
      </c>
      <c r="AA34" s="11" t="str">
        <f aca="false">VLOOKUP(V34,'DATABASE RO'!$C$3:$M$185,6,0)</f>
        <v>Balok</v>
      </c>
      <c r="AB34" s="11" t="str">
        <f aca="false">VLOOKUP(V34,'DATABASE RO'!$C$3:$M$185,7,0)</f>
        <v>Kendal</v>
      </c>
      <c r="AC34" s="11" t="str">
        <f aca="false">VLOOKUP(V34,'DATABASE RO'!$C$3:$M$185,8,0)</f>
        <v>https://www.google.com/maps?z=12&amp;t=m&amp;q=loc:-6.980049+110.073777</v>
      </c>
      <c r="AD34" s="11" t="str">
        <f aca="false">VLOOKUP(V34,'DATABASE RO'!$C$3:$M$185,9,0)</f>
        <v>EXCELLENT</v>
      </c>
      <c r="AE34" s="11"/>
      <c r="AF34" s="11" t="str">
        <f aca="false">VLOOKUP(V34,'DATABASE RO'!$C$3:$M$185,11,0)</f>
        <v>081904757492</v>
      </c>
      <c r="AG34" s="11"/>
      <c r="AJ34" s="10"/>
      <c r="AK34" s="10" t="str">
        <f aca="false">B34</f>
        <v>P2</v>
      </c>
      <c r="AL34" s="10" t="str">
        <f aca="false">C34</f>
        <v>KENDAL</v>
      </c>
      <c r="AM34" s="10" t="str">
        <f aca="false">D34</f>
        <v>1063120250505029</v>
      </c>
      <c r="AN34" s="10" t="str">
        <f aca="false">E34</f>
        <v>Minayati setiani</v>
      </c>
      <c r="AO34" s="10" t="str">
        <f aca="false">F34</f>
        <v>Konsumen Aktif M 0 - 6 Lunas</v>
      </c>
      <c r="AP34" s="11" t="str">
        <f aca="false">IFERROR(G34,X34)</f>
        <v>CUS063120210905347            </v>
      </c>
      <c r="AQ34" s="11" t="str">
        <f aca="false">IFERROR(H34,Y34)</f>
        <v>NO</v>
      </c>
      <c r="AR34" s="11" t="str">
        <f aca="false">IFERROR(I34,Z34)</f>
        <v>BUMIAYU RT 008 /RW 003, Bumiayu, Weleri, KAB-Kendal, 51355</v>
      </c>
      <c r="AS34" s="11" t="str">
        <f aca="false">IFERROR(J34,AA34)</f>
        <v>Balok</v>
      </c>
      <c r="AT34" s="11" t="str">
        <f aca="false">IFERROR(K34,AB34)</f>
        <v>Kendal</v>
      </c>
      <c r="AU34" s="11" t="str">
        <f aca="false">IFERROR(L34,AC34)</f>
        <v>https://www.google.com/maps?z=12&amp;t=m&amp;q=loc:-6.980049+110.073777</v>
      </c>
      <c r="AV34" s="11" t="str">
        <f aca="false">IFERROR(M34,AD34)</f>
        <v>EXCELLENT</v>
      </c>
      <c r="AW34" s="11" t="n">
        <f aca="false">IFERROR(N34,AE34)</f>
        <v>0</v>
      </c>
      <c r="AX34" s="11" t="str">
        <f aca="false">IFERROR(O34,AF34)</f>
        <v>081904757492</v>
      </c>
    </row>
    <row r="35" customFormat="false" ht="15.75" hidden="false" customHeight="true" outlineLevel="0" collapsed="false">
      <c r="A35" s="10"/>
      <c r="B35" s="10" t="s">
        <v>18</v>
      </c>
      <c r="C35" s="10" t="s">
        <v>19</v>
      </c>
      <c r="D35" s="10" t="s">
        <v>79</v>
      </c>
      <c r="E35" s="10" t="s">
        <v>80</v>
      </c>
      <c r="F35" s="11" t="s">
        <v>22</v>
      </c>
      <c r="G35" s="11" t="str">
        <f aca="false">VLOOKUP(D35,'DATABASE RO'!$B$3:$M$299,4,0)</f>
        <v>CUS063120210805233            </v>
      </c>
      <c r="H35" s="11" t="str">
        <f aca="false">VLOOKUP(D35,'DATABASE RO'!$B$3:$M$299,5,0)</f>
        <v>NO</v>
      </c>
      <c r="I35" s="11" t="str">
        <f aca="false">VLOOKUP(D35,'DATABASE RO'!$B$3:$M$299,6,0)</f>
        <v>TRIDI RT 007 /RW 003, Dempelrejo, Ngampel, KENDAL, 51357</v>
      </c>
      <c r="J35" s="11" t="str">
        <f aca="false">VLOOKUP(D35,'DATABASE RO'!$B$3:$M$299,7,0)</f>
        <v>Dempelrejo</v>
      </c>
      <c r="K35" s="11" t="str">
        <f aca="false">VLOOKUP(D35,'DATABASE RO'!$B$3:$M$299,8,0)</f>
        <v>Ngampel</v>
      </c>
      <c r="L35" s="11" t="str">
        <f aca="false">VLOOKUP(D35,'DATABASE RO'!$B$3:$M$299,9,0)</f>
        <v>https://www.google.com/maps?z=12&amp;t=m&amp;q=loc:-6.954715+110.200846</v>
      </c>
      <c r="M35" s="11" t="str">
        <f aca="false">VLOOKUP(D35,'DATABASE RO'!$B$3:$M$299,10,0)</f>
        <v>NORMAL</v>
      </c>
      <c r="N35" s="11"/>
      <c r="O35" s="11" t="str">
        <f aca="false">VLOOKUP(D35,'DATABASE RO'!$B$3:$M$299,12,0)</f>
        <v>089653350080</v>
      </c>
      <c r="P35" s="11"/>
      <c r="S35" s="9" t="str">
        <f aca="false">B35</f>
        <v>P2</v>
      </c>
      <c r="T35" s="9" t="str">
        <f aca="false">C35</f>
        <v>KENDAL</v>
      </c>
      <c r="U35" s="9" t="str">
        <f aca="false">D35</f>
        <v>1063120250505033</v>
      </c>
      <c r="V35" s="9" t="str">
        <f aca="false">E35</f>
        <v>Listiyo hardiman</v>
      </c>
      <c r="W35" s="10"/>
      <c r="X35" s="11" t="str">
        <f aca="false">VLOOKUP(V35,'DATABASE RO'!$C$3:$M$185,3,0)</f>
        <v>CUS063120210805233            </v>
      </c>
      <c r="Y35" s="11" t="str">
        <f aca="false">VLOOKUP(V35,'DATABASE RO'!$C$3:$M$185,4,0)</f>
        <v>NO</v>
      </c>
      <c r="Z35" s="11" t="str">
        <f aca="false">VLOOKUP(V35,'DATABASE RO'!$C$3:$M$185,5,0)</f>
        <v>TRIDI RT 007 /RW 003, Dempelrejo, Ngampel, KENDAL, 51357</v>
      </c>
      <c r="AA35" s="11" t="str">
        <f aca="false">VLOOKUP(V35,'DATABASE RO'!$C$3:$M$185,6,0)</f>
        <v>Dempelrejo</v>
      </c>
      <c r="AB35" s="11" t="str">
        <f aca="false">VLOOKUP(V35,'DATABASE RO'!$C$3:$M$185,7,0)</f>
        <v>Ngampel</v>
      </c>
      <c r="AC35" s="11" t="str">
        <f aca="false">VLOOKUP(V35,'DATABASE RO'!$C$3:$M$185,8,0)</f>
        <v>https://www.google.com/maps?z=12&amp;t=m&amp;q=loc:-6.954715+110.200846</v>
      </c>
      <c r="AD35" s="11" t="str">
        <f aca="false">VLOOKUP(V35,'DATABASE RO'!$C$3:$M$185,9,0)</f>
        <v>NORMAL</v>
      </c>
      <c r="AE35" s="11"/>
      <c r="AF35" s="11" t="str">
        <f aca="false">VLOOKUP(V35,'DATABASE RO'!$C$3:$M$185,11,0)</f>
        <v>089653350080</v>
      </c>
      <c r="AG35" s="11"/>
      <c r="AJ35" s="10"/>
      <c r="AK35" s="10" t="str">
        <f aca="false">B35</f>
        <v>P2</v>
      </c>
      <c r="AL35" s="10" t="str">
        <f aca="false">C35</f>
        <v>KENDAL</v>
      </c>
      <c r="AM35" s="10" t="str">
        <f aca="false">D35</f>
        <v>1063120250505033</v>
      </c>
      <c r="AN35" s="10" t="str">
        <f aca="false">E35</f>
        <v>Listiyo hardiman</v>
      </c>
      <c r="AO35" s="10" t="str">
        <f aca="false">F35</f>
        <v>Konsumen Aktif M 0 - 6 Lunas</v>
      </c>
      <c r="AP35" s="11" t="str">
        <f aca="false">IFERROR(G35,X35)</f>
        <v>CUS063120210805233            </v>
      </c>
      <c r="AQ35" s="11" t="str">
        <f aca="false">IFERROR(H35,Y35)</f>
        <v>NO</v>
      </c>
      <c r="AR35" s="11" t="str">
        <f aca="false">IFERROR(I35,Z35)</f>
        <v>TRIDI RT 007 /RW 003, Dempelrejo, Ngampel, KENDAL, 51357</v>
      </c>
      <c r="AS35" s="11" t="str">
        <f aca="false">IFERROR(J35,AA35)</f>
        <v>Dempelrejo</v>
      </c>
      <c r="AT35" s="11" t="str">
        <f aca="false">IFERROR(K35,AB35)</f>
        <v>Ngampel</v>
      </c>
      <c r="AU35" s="11" t="str">
        <f aca="false">IFERROR(L35,AC35)</f>
        <v>https://www.google.com/maps?z=12&amp;t=m&amp;q=loc:-6.954715+110.200846</v>
      </c>
      <c r="AV35" s="11" t="str">
        <f aca="false">IFERROR(M35,AD35)</f>
        <v>NORMAL</v>
      </c>
      <c r="AW35" s="11" t="n">
        <f aca="false">IFERROR(N35,AE35)</f>
        <v>0</v>
      </c>
      <c r="AX35" s="11" t="str">
        <f aca="false">IFERROR(O35,AF35)</f>
        <v>089653350080</v>
      </c>
    </row>
    <row r="36" customFormat="false" ht="15.75" hidden="false" customHeight="true" outlineLevel="0" collapsed="false">
      <c r="A36" s="10"/>
      <c r="B36" s="10" t="s">
        <v>18</v>
      </c>
      <c r="C36" s="10" t="s">
        <v>19</v>
      </c>
      <c r="D36" s="10" t="s">
        <v>81</v>
      </c>
      <c r="E36" s="10" t="s">
        <v>82</v>
      </c>
      <c r="F36" s="11" t="s">
        <v>22</v>
      </c>
      <c r="G36" s="11" t="str">
        <f aca="false">VLOOKUP(D36,'DATABASE RO'!$B$3:$M$299,4,0)</f>
        <v>CUS063120250608712            </v>
      </c>
      <c r="H36" s="11" t="str">
        <f aca="false">VLOOKUP(D36,'DATABASE RO'!$B$3:$M$299,5,0)</f>
        <v>YES</v>
      </c>
      <c r="I36" s="11" t="str">
        <f aca="false">VLOOKUP(D36,'DATABASE RO'!$B$3:$M$299,6,0)</f>
        <v>PLELEN LOR RT 004 /RW 003, Plelen, GRINGSING, KAB-Batang, 51281</v>
      </c>
      <c r="J36" s="11" t="str">
        <f aca="false">VLOOKUP(D36,'DATABASE RO'!$B$3:$M$299,7,0)</f>
        <v>Plelen</v>
      </c>
      <c r="K36" s="11" t="str">
        <f aca="false">VLOOKUP(D36,'DATABASE RO'!$B$3:$M$299,8,0)</f>
        <v>Gringsing</v>
      </c>
      <c r="L36" s="11" t="str">
        <f aca="false">VLOOKUP(D36,'DATABASE RO'!$B$3:$M$299,9,0)</f>
        <v>https://www.google.com/maps?z=12&amp;t=m&amp;q=loc:-6.967304+110.017917</v>
      </c>
      <c r="M36" s="11" t="str">
        <f aca="false">VLOOKUP(D36,'DATABASE RO'!$B$3:$M$299,10,0)</f>
        <v>GOOD</v>
      </c>
      <c r="N36" s="11"/>
      <c r="O36" s="11" t="str">
        <f aca="false">VLOOKUP(D36,'DATABASE RO'!$B$3:$M$299,12,0)</f>
        <v>082327099341</v>
      </c>
      <c r="P36" s="11"/>
      <c r="S36" s="9" t="str">
        <f aca="false">B36</f>
        <v>P2</v>
      </c>
      <c r="T36" s="9" t="str">
        <f aca="false">C36</f>
        <v>KENDAL</v>
      </c>
      <c r="U36" s="9" t="str">
        <f aca="false">D36</f>
        <v>1063120250605071</v>
      </c>
      <c r="V36" s="9" t="str">
        <f aca="false">E36</f>
        <v>EKO SETIAWAN</v>
      </c>
      <c r="W36" s="10"/>
      <c r="X36" s="11" t="str">
        <f aca="false">VLOOKUP(V36,'DATABASE RO'!$C$3:$M$185,3,0)</f>
        <v>CUS063120250608712            </v>
      </c>
      <c r="Y36" s="11" t="str">
        <f aca="false">VLOOKUP(V36,'DATABASE RO'!$C$3:$M$185,4,0)</f>
        <v>YES</v>
      </c>
      <c r="Z36" s="11" t="str">
        <f aca="false">VLOOKUP(V36,'DATABASE RO'!$C$3:$M$185,5,0)</f>
        <v>PLELEN LOR RT 004 /RW 003, Plelen, GRINGSING, KAB-Batang, 51281</v>
      </c>
      <c r="AA36" s="11" t="str">
        <f aca="false">VLOOKUP(V36,'DATABASE RO'!$C$3:$M$185,6,0)</f>
        <v>Plelen</v>
      </c>
      <c r="AB36" s="11" t="str">
        <f aca="false">VLOOKUP(V36,'DATABASE RO'!$C$3:$M$185,7,0)</f>
        <v>Gringsing</v>
      </c>
      <c r="AC36" s="11" t="str">
        <f aca="false">VLOOKUP(V36,'DATABASE RO'!$C$3:$M$185,8,0)</f>
        <v>https://www.google.com/maps?z=12&amp;t=m&amp;q=loc:-6.967304+110.017917</v>
      </c>
      <c r="AD36" s="11" t="str">
        <f aca="false">VLOOKUP(V36,'DATABASE RO'!$C$3:$M$185,9,0)</f>
        <v>GOOD</v>
      </c>
      <c r="AE36" s="11"/>
      <c r="AF36" s="11" t="str">
        <f aca="false">VLOOKUP(V36,'DATABASE RO'!$C$3:$M$185,11,0)</f>
        <v>082327099341</v>
      </c>
      <c r="AG36" s="11"/>
      <c r="AJ36" s="10"/>
      <c r="AK36" s="10" t="str">
        <f aca="false">B36</f>
        <v>P2</v>
      </c>
      <c r="AL36" s="10" t="str">
        <f aca="false">C36</f>
        <v>KENDAL</v>
      </c>
      <c r="AM36" s="10" t="str">
        <f aca="false">D36</f>
        <v>1063120250605071</v>
      </c>
      <c r="AN36" s="10" t="str">
        <f aca="false">E36</f>
        <v>EKO SETIAWAN</v>
      </c>
      <c r="AO36" s="10" t="str">
        <f aca="false">F36</f>
        <v>Konsumen Aktif M 0 - 6 Lunas</v>
      </c>
      <c r="AP36" s="11" t="str">
        <f aca="false">IFERROR(G36,X36)</f>
        <v>CUS063120250608712            </v>
      </c>
      <c r="AQ36" s="11" t="str">
        <f aca="false">IFERROR(H36,Y36)</f>
        <v>YES</v>
      </c>
      <c r="AR36" s="11" t="str">
        <f aca="false">IFERROR(I36,Z36)</f>
        <v>PLELEN LOR RT 004 /RW 003, Plelen, GRINGSING, KAB-Batang, 51281</v>
      </c>
      <c r="AS36" s="11" t="str">
        <f aca="false">IFERROR(J36,AA36)</f>
        <v>Plelen</v>
      </c>
      <c r="AT36" s="11" t="str">
        <f aca="false">IFERROR(K36,AB36)</f>
        <v>Gringsing</v>
      </c>
      <c r="AU36" s="11" t="str">
        <f aca="false">IFERROR(L36,AC36)</f>
        <v>https://www.google.com/maps?z=12&amp;t=m&amp;q=loc:-6.967304+110.017917</v>
      </c>
      <c r="AV36" s="11" t="str">
        <f aca="false">IFERROR(M36,AD36)</f>
        <v>GOOD</v>
      </c>
      <c r="AW36" s="11" t="n">
        <f aca="false">IFERROR(N36,AE36)</f>
        <v>0</v>
      </c>
      <c r="AX36" s="11" t="str">
        <f aca="false">IFERROR(O36,AF36)</f>
        <v>082327099341</v>
      </c>
    </row>
    <row r="37" customFormat="false" ht="15.75" hidden="false" customHeight="true" outlineLevel="0" collapsed="false">
      <c r="A37" s="10"/>
      <c r="B37" s="10" t="s">
        <v>18</v>
      </c>
      <c r="C37" s="10" t="s">
        <v>19</v>
      </c>
      <c r="D37" s="10" t="s">
        <v>83</v>
      </c>
      <c r="E37" s="10" t="s">
        <v>84</v>
      </c>
      <c r="F37" s="11" t="s">
        <v>22</v>
      </c>
      <c r="G37" s="11" t="str">
        <f aca="false">VLOOKUP(D37,'DATABASE RO'!$B$3:$M$299,4,0)</f>
        <v>P19002065334                  </v>
      </c>
      <c r="H37" s="11" t="str">
        <f aca="false">VLOOKUP(D37,'DATABASE RO'!$B$3:$M$299,5,0)</f>
        <v>YES</v>
      </c>
      <c r="I37" s="11" t="str">
        <f aca="false">VLOOKUP(D37,'DATABASE RO'!$B$3:$M$299,6,0)</f>
        <v>SAMBONGAN RT 001 /RW 001, Sambongsari, Weleri, KABUPATEN, 51355</v>
      </c>
      <c r="J37" s="11" t="str">
        <f aca="false">VLOOKUP(D37,'DATABASE RO'!$B$3:$M$299,7,0)</f>
        <v>Sambongsari</v>
      </c>
      <c r="K37" s="11" t="str">
        <f aca="false">VLOOKUP(D37,'DATABASE RO'!$B$3:$M$299,8,0)</f>
        <v>Weleri</v>
      </c>
      <c r="L37" s="11" t="str">
        <f aca="false">VLOOKUP(D37,'DATABASE RO'!$B$3:$M$299,9,0)</f>
        <v>TIDAK ADA</v>
      </c>
      <c r="M37" s="11" t="str">
        <f aca="false">VLOOKUP(D37,'DATABASE RO'!$B$3:$M$299,10,0)</f>
        <v>GOOD</v>
      </c>
      <c r="N37" s="11"/>
      <c r="O37" s="11" t="str">
        <f aca="false">VLOOKUP(D37,'DATABASE RO'!$B$3:$M$299,12,0)</f>
        <v>081328738453</v>
      </c>
      <c r="P37" s="11"/>
      <c r="S37" s="9" t="str">
        <f aca="false">B37</f>
        <v>P2</v>
      </c>
      <c r="T37" s="9" t="str">
        <f aca="false">C37</f>
        <v>KENDAL</v>
      </c>
      <c r="U37" s="9" t="str">
        <f aca="false">D37</f>
        <v>1063120250605074</v>
      </c>
      <c r="V37" s="9" t="str">
        <f aca="false">E37</f>
        <v>RASWI</v>
      </c>
      <c r="W37" s="10"/>
      <c r="X37" s="11" t="str">
        <f aca="false">VLOOKUP(V37,'DATABASE RO'!$C$3:$M$185,3,0)</f>
        <v>P19002065334</v>
      </c>
      <c r="Y37" s="11" t="str">
        <f aca="false">VLOOKUP(V37,'DATABASE RO'!$C$3:$M$185,4,0)</f>
        <v>YES</v>
      </c>
      <c r="Z37" s="11" t="str">
        <f aca="false">VLOOKUP(V37,'DATABASE RO'!$C$3:$M$185,5,0)</f>
        <v>SAMBONGAN RT 001 /RW 001, Sambongsari, Weleri, KABUPATEN, 51355</v>
      </c>
      <c r="AA37" s="11" t="str">
        <f aca="false">VLOOKUP(V37,'DATABASE RO'!$C$3:$M$185,6,0)</f>
        <v>Sambongsari</v>
      </c>
      <c r="AB37" s="11" t="str">
        <f aca="false">VLOOKUP(V37,'DATABASE RO'!$C$3:$M$185,7,0)</f>
        <v>WELERI</v>
      </c>
      <c r="AC37" s="11" t="str">
        <f aca="false">VLOOKUP(V37,'DATABASE RO'!$C$3:$M$185,8,0)</f>
        <v>TIDAK ADA</v>
      </c>
      <c r="AD37" s="11" t="str">
        <f aca="false">VLOOKUP(V37,'DATABASE RO'!$C$3:$M$185,9,0)</f>
        <v>GOOD</v>
      </c>
      <c r="AE37" s="11"/>
      <c r="AF37" s="11" t="str">
        <f aca="false">VLOOKUP(V37,'DATABASE RO'!$C$3:$M$185,11,0)</f>
        <v>TIDAK ADA</v>
      </c>
      <c r="AG37" s="11"/>
      <c r="AJ37" s="10"/>
      <c r="AK37" s="10" t="str">
        <f aca="false">B37</f>
        <v>P2</v>
      </c>
      <c r="AL37" s="10" t="str">
        <f aca="false">C37</f>
        <v>KENDAL</v>
      </c>
      <c r="AM37" s="10" t="str">
        <f aca="false">D37</f>
        <v>1063120250605074</v>
      </c>
      <c r="AN37" s="10" t="str">
        <f aca="false">E37</f>
        <v>RASWI</v>
      </c>
      <c r="AO37" s="10" t="str">
        <f aca="false">F37</f>
        <v>Konsumen Aktif M 0 - 6 Lunas</v>
      </c>
      <c r="AP37" s="11" t="str">
        <f aca="false">IFERROR(G37,X37)</f>
        <v>P19002065334                  </v>
      </c>
      <c r="AQ37" s="11" t="str">
        <f aca="false">IFERROR(H37,Y37)</f>
        <v>YES</v>
      </c>
      <c r="AR37" s="11" t="str">
        <f aca="false">IFERROR(I37,Z37)</f>
        <v>SAMBONGAN RT 001 /RW 001, Sambongsari, Weleri, KABUPATEN, 51355</v>
      </c>
      <c r="AS37" s="11" t="str">
        <f aca="false">IFERROR(J37,AA37)</f>
        <v>Sambongsari</v>
      </c>
      <c r="AT37" s="11" t="str">
        <f aca="false">IFERROR(K37,AB37)</f>
        <v>Weleri</v>
      </c>
      <c r="AU37" s="11" t="str">
        <f aca="false">IFERROR(L37,AC37)</f>
        <v>TIDAK ADA</v>
      </c>
      <c r="AV37" s="11" t="str">
        <f aca="false">IFERROR(M37,AD37)</f>
        <v>GOOD</v>
      </c>
      <c r="AW37" s="11" t="n">
        <f aca="false">IFERROR(N37,AE37)</f>
        <v>0</v>
      </c>
      <c r="AX37" s="11" t="str">
        <f aca="false">IFERROR(O37,AF37)</f>
        <v>081328738453</v>
      </c>
    </row>
    <row r="38" customFormat="false" ht="15.75" hidden="false" customHeight="true" outlineLevel="0" collapsed="false">
      <c r="A38" s="10"/>
      <c r="B38" s="10" t="s">
        <v>18</v>
      </c>
      <c r="C38" s="10" t="s">
        <v>19</v>
      </c>
      <c r="D38" s="10" t="s">
        <v>85</v>
      </c>
      <c r="E38" s="10" t="s">
        <v>86</v>
      </c>
      <c r="F38" s="11" t="s">
        <v>22</v>
      </c>
      <c r="G38" s="11" t="str">
        <f aca="false">VLOOKUP(D38,'DATABASE RO'!$B$3:$M$299,4,0)</f>
        <v>P19002037129                  </v>
      </c>
      <c r="H38" s="11" t="str">
        <f aca="false">VLOOKUP(D38,'DATABASE RO'!$B$3:$M$299,5,0)</f>
        <v>YES</v>
      </c>
      <c r="I38" s="11" t="str">
        <f aca="false">VLOOKUP(D38,'DATABASE RO'!$B$3:$M$299,6,0)</f>
        <v>CEPIRING RT 001 /RW 001, Cepiring, Cepiring, KAB-Kendal, 51352</v>
      </c>
      <c r="J38" s="11" t="str">
        <f aca="false">VLOOKUP(D38,'DATABASE RO'!$B$3:$M$299,7,0)</f>
        <v>Cepiring</v>
      </c>
      <c r="K38" s="11" t="str">
        <f aca="false">VLOOKUP(D38,'DATABASE RO'!$B$3:$M$299,8,0)</f>
        <v>Cepiring</v>
      </c>
      <c r="L38" s="11" t="str">
        <f aca="false">VLOOKUP(D38,'DATABASE RO'!$B$3:$M$299,9,0)</f>
        <v>https://www.google.com/maps?z=12&amp;t=m&amp;q=loc:-6.923715+110.152227</v>
      </c>
      <c r="M38" s="11" t="str">
        <f aca="false">VLOOKUP(D38,'DATABASE RO'!$B$3:$M$299,10,0)</f>
        <v>EXCELLENT</v>
      </c>
      <c r="N38" s="11"/>
      <c r="O38" s="11" t="str">
        <f aca="false">VLOOKUP(D38,'DATABASE RO'!$B$3:$M$299,12,0)</f>
        <v>082135903307</v>
      </c>
      <c r="P38" s="11"/>
      <c r="S38" s="9" t="str">
        <f aca="false">B38</f>
        <v>P2</v>
      </c>
      <c r="T38" s="9" t="str">
        <f aca="false">C38</f>
        <v>KENDAL</v>
      </c>
      <c r="U38" s="9" t="str">
        <f aca="false">D38</f>
        <v>1063120250605084</v>
      </c>
      <c r="V38" s="9" t="str">
        <f aca="false">E38</f>
        <v>DEWI PURWATININGSIH</v>
      </c>
      <c r="W38" s="10"/>
      <c r="X38" s="11" t="str">
        <f aca="false">VLOOKUP(V38,'DATABASE RO'!$C$3:$M$185,3,0)</f>
        <v>P19002037129                  </v>
      </c>
      <c r="Y38" s="11" t="str">
        <f aca="false">VLOOKUP(V38,'DATABASE RO'!$C$3:$M$185,4,0)</f>
        <v>YES</v>
      </c>
      <c r="Z38" s="11" t="str">
        <f aca="false">VLOOKUP(V38,'DATABASE RO'!$C$3:$M$185,5,0)</f>
        <v>CEPIRING RT 001 /RW 001, Cepiring, Cepiring, KAB-Kendal, 51352</v>
      </c>
      <c r="AA38" s="11" t="str">
        <f aca="false">VLOOKUP(V38,'DATABASE RO'!$C$3:$M$185,6,0)</f>
        <v>Cepiring</v>
      </c>
      <c r="AB38" s="11" t="str">
        <f aca="false">VLOOKUP(V38,'DATABASE RO'!$C$3:$M$185,7,0)</f>
        <v>Cepiring</v>
      </c>
      <c r="AC38" s="11" t="str">
        <f aca="false">VLOOKUP(V38,'DATABASE RO'!$C$3:$M$185,8,0)</f>
        <v>https://www.google.com/maps?z=12&amp;t=m&amp;q=loc:-6.923715+110.152227</v>
      </c>
      <c r="AD38" s="11" t="str">
        <f aca="false">VLOOKUP(V38,'DATABASE RO'!$C$3:$M$185,9,0)</f>
        <v>EXCELLENT</v>
      </c>
      <c r="AE38" s="11"/>
      <c r="AF38" s="11" t="str">
        <f aca="false">VLOOKUP(V38,'DATABASE RO'!$C$3:$M$185,11,0)</f>
        <v>082135903307</v>
      </c>
      <c r="AG38" s="11"/>
      <c r="AJ38" s="10"/>
      <c r="AK38" s="10" t="str">
        <f aca="false">B38</f>
        <v>P2</v>
      </c>
      <c r="AL38" s="10" t="str">
        <f aca="false">C38</f>
        <v>KENDAL</v>
      </c>
      <c r="AM38" s="10" t="str">
        <f aca="false">D38</f>
        <v>1063120250605084</v>
      </c>
      <c r="AN38" s="10" t="str">
        <f aca="false">E38</f>
        <v>DEWI PURWATININGSIH</v>
      </c>
      <c r="AO38" s="10" t="str">
        <f aca="false">F38</f>
        <v>Konsumen Aktif M 0 - 6 Lunas</v>
      </c>
      <c r="AP38" s="11" t="str">
        <f aca="false">IFERROR(G38,X38)</f>
        <v>P19002037129                  </v>
      </c>
      <c r="AQ38" s="11" t="str">
        <f aca="false">IFERROR(H38,Y38)</f>
        <v>YES</v>
      </c>
      <c r="AR38" s="11" t="str">
        <f aca="false">IFERROR(I38,Z38)</f>
        <v>CEPIRING RT 001 /RW 001, Cepiring, Cepiring, KAB-Kendal, 51352</v>
      </c>
      <c r="AS38" s="11" t="str">
        <f aca="false">IFERROR(J38,AA38)</f>
        <v>Cepiring</v>
      </c>
      <c r="AT38" s="11" t="str">
        <f aca="false">IFERROR(K38,AB38)</f>
        <v>Cepiring</v>
      </c>
      <c r="AU38" s="11" t="str">
        <f aca="false">IFERROR(L38,AC38)</f>
        <v>https://www.google.com/maps?z=12&amp;t=m&amp;q=loc:-6.923715+110.152227</v>
      </c>
      <c r="AV38" s="11" t="str">
        <f aca="false">IFERROR(M38,AD38)</f>
        <v>EXCELLENT</v>
      </c>
      <c r="AW38" s="11" t="n">
        <f aca="false">IFERROR(N38,AE38)</f>
        <v>0</v>
      </c>
      <c r="AX38" s="11" t="str">
        <f aca="false">IFERROR(O38,AF38)</f>
        <v>082135903307</v>
      </c>
    </row>
    <row r="39" customFormat="false" ht="15.75" hidden="false" customHeight="true" outlineLevel="0" collapsed="false">
      <c r="A39" s="10"/>
      <c r="B39" s="10" t="s">
        <v>18</v>
      </c>
      <c r="C39" s="10" t="s">
        <v>19</v>
      </c>
      <c r="D39" s="10" t="s">
        <v>87</v>
      </c>
      <c r="E39" s="10" t="s">
        <v>88</v>
      </c>
      <c r="F39" s="11" t="s">
        <v>22</v>
      </c>
      <c r="G39" s="11" t="str">
        <f aca="false">VLOOKUP(D39,'DATABASE RO'!$B$3:$M$299,4,0)</f>
        <v>P19002058761                  </v>
      </c>
      <c r="H39" s="11" t="str">
        <f aca="false">VLOOKUP(D39,'DATABASE RO'!$B$3:$M$299,5,0)</f>
        <v>NO</v>
      </c>
      <c r="I39" s="11" t="str">
        <f aca="false">VLOOKUP(D39,'DATABASE RO'!$B$3:$M$299,6,0)</f>
        <v>TEGAL SARI RT 006 /RW 004, Kangkung, Kangkung, KAB-Kendal, 51353</v>
      </c>
      <c r="J39" s="11" t="str">
        <f aca="false">VLOOKUP(D39,'DATABASE RO'!$B$3:$M$299,7,0)</f>
        <v>Kangkung</v>
      </c>
      <c r="K39" s="11" t="str">
        <f aca="false">VLOOKUP(D39,'DATABASE RO'!$B$3:$M$299,8,0)</f>
        <v>Kangkung</v>
      </c>
      <c r="L39" s="11" t="str">
        <f aca="false">VLOOKUP(D39,'DATABASE RO'!$B$3:$M$299,9,0)</f>
        <v>https://www.google.com/maps?z=12&amp;t=m&amp;q=loc:-6.906785+110.114196</v>
      </c>
      <c r="M39" s="11" t="str">
        <f aca="false">VLOOKUP(D39,'DATABASE RO'!$B$3:$M$299,10,0)</f>
        <v>NORMAL</v>
      </c>
      <c r="N39" s="11"/>
      <c r="O39" s="11" t="str">
        <f aca="false">VLOOKUP(D39,'DATABASE RO'!$B$3:$M$299,12,0)</f>
        <v>085603077339</v>
      </c>
      <c r="P39" s="11"/>
      <c r="S39" s="9" t="str">
        <f aca="false">B39</f>
        <v>P2</v>
      </c>
      <c r="T39" s="9" t="str">
        <f aca="false">C39</f>
        <v>KENDAL</v>
      </c>
      <c r="U39" s="9" t="str">
        <f aca="false">D39</f>
        <v>1063120250605092</v>
      </c>
      <c r="V39" s="9" t="str">
        <f aca="false">E39</f>
        <v>AHMAD SOLEH</v>
      </c>
      <c r="W39" s="10"/>
      <c r="X39" s="11" t="str">
        <f aca="false">VLOOKUP(V39,'DATABASE RO'!$C$3:$M$185,3,0)</f>
        <v>P19002058761                  </v>
      </c>
      <c r="Y39" s="11" t="str">
        <f aca="false">VLOOKUP(V39,'DATABASE RO'!$C$3:$M$185,4,0)</f>
        <v>NO</v>
      </c>
      <c r="Z39" s="11" t="str">
        <f aca="false">VLOOKUP(V39,'DATABASE RO'!$C$3:$M$185,5,0)</f>
        <v>TEGAL SARI RT 006 /RW 004, Kangkung, Kangkung, KAB-Kendal, 51353</v>
      </c>
      <c r="AA39" s="11" t="str">
        <f aca="false">VLOOKUP(V39,'DATABASE RO'!$C$3:$M$185,6,0)</f>
        <v>Kangkung</v>
      </c>
      <c r="AB39" s="11" t="str">
        <f aca="false">VLOOKUP(V39,'DATABASE RO'!$C$3:$M$185,7,0)</f>
        <v>Kangkung</v>
      </c>
      <c r="AC39" s="11" t="str">
        <f aca="false">VLOOKUP(V39,'DATABASE RO'!$C$3:$M$185,8,0)</f>
        <v>https://www.google.com/maps?z=12&amp;t=m&amp;q=loc:-6.906785+110.114196</v>
      </c>
      <c r="AD39" s="11" t="str">
        <f aca="false">VLOOKUP(V39,'DATABASE RO'!$C$3:$M$185,9,0)</f>
        <v>NORMAL</v>
      </c>
      <c r="AE39" s="11"/>
      <c r="AF39" s="11" t="str">
        <f aca="false">VLOOKUP(V39,'DATABASE RO'!$C$3:$M$185,11,0)</f>
        <v>085603077339</v>
      </c>
      <c r="AG39" s="11"/>
      <c r="AJ39" s="10"/>
      <c r="AK39" s="10" t="str">
        <f aca="false">B39</f>
        <v>P2</v>
      </c>
      <c r="AL39" s="10" t="str">
        <f aca="false">C39</f>
        <v>KENDAL</v>
      </c>
      <c r="AM39" s="10" t="str">
        <f aca="false">D39</f>
        <v>1063120250605092</v>
      </c>
      <c r="AN39" s="10" t="str">
        <f aca="false">E39</f>
        <v>AHMAD SOLEH</v>
      </c>
      <c r="AO39" s="10" t="str">
        <f aca="false">F39</f>
        <v>Konsumen Aktif M 0 - 6 Lunas</v>
      </c>
      <c r="AP39" s="11" t="str">
        <f aca="false">IFERROR(G39,X39)</f>
        <v>P19002058761                  </v>
      </c>
      <c r="AQ39" s="11" t="str">
        <f aca="false">IFERROR(H39,Y39)</f>
        <v>NO</v>
      </c>
      <c r="AR39" s="11" t="str">
        <f aca="false">IFERROR(I39,Z39)</f>
        <v>TEGAL SARI RT 006 /RW 004, Kangkung, Kangkung, KAB-Kendal, 51353</v>
      </c>
      <c r="AS39" s="11" t="str">
        <f aca="false">IFERROR(J39,AA39)</f>
        <v>Kangkung</v>
      </c>
      <c r="AT39" s="11" t="str">
        <f aca="false">IFERROR(K39,AB39)</f>
        <v>Kangkung</v>
      </c>
      <c r="AU39" s="11" t="str">
        <f aca="false">IFERROR(L39,AC39)</f>
        <v>https://www.google.com/maps?z=12&amp;t=m&amp;q=loc:-6.906785+110.114196</v>
      </c>
      <c r="AV39" s="11" t="str">
        <f aca="false">IFERROR(M39,AD39)</f>
        <v>NORMAL</v>
      </c>
      <c r="AW39" s="11" t="n">
        <f aca="false">IFERROR(N39,AE39)</f>
        <v>0</v>
      </c>
      <c r="AX39" s="11" t="str">
        <f aca="false">IFERROR(O39,AF39)</f>
        <v>085603077339</v>
      </c>
    </row>
    <row r="40" customFormat="false" ht="15.75" hidden="false" customHeight="true" outlineLevel="0" collapsed="false">
      <c r="A40" s="10"/>
      <c r="B40" s="10" t="s">
        <v>18</v>
      </c>
      <c r="C40" s="10" t="s">
        <v>19</v>
      </c>
      <c r="D40" s="10" t="s">
        <v>89</v>
      </c>
      <c r="E40" s="10" t="s">
        <v>90</v>
      </c>
      <c r="F40" s="11" t="s">
        <v>22</v>
      </c>
      <c r="G40" s="11" t="str">
        <f aca="false">VLOOKUP(D40,'DATABASE RO'!$B$3:$M$299,4,0)</f>
        <v>P19002027842                  </v>
      </c>
      <c r="H40" s="11" t="str">
        <f aca="false">VLOOKUP(D40,'DATABASE RO'!$B$3:$M$299,5,0)</f>
        <v>YES</v>
      </c>
      <c r="I40" s="11" t="str">
        <f aca="false">VLOOKUP(D40,'DATABASE RO'!$B$3:$M$299,6,0)</f>
        <v>DUKUH TAMANAN RT 002 /RW 004, Tamangede, Gemuh, KAB-Kendal, 51356</v>
      </c>
      <c r="J40" s="11" t="str">
        <f aca="false">VLOOKUP(D40,'DATABASE RO'!$B$3:$M$299,7,0)</f>
        <v>Tamangede</v>
      </c>
      <c r="K40" s="11" t="str">
        <f aca="false">VLOOKUP(D40,'DATABASE RO'!$B$3:$M$299,8,0)</f>
        <v>Gemuh</v>
      </c>
      <c r="L40" s="11" t="str">
        <f aca="false">VLOOKUP(D40,'DATABASE RO'!$B$3:$M$299,9,0)</f>
        <v>https://www.google.com/maps?z=12&amp;t=m&amp;q=loc:-6.956966+110.150238</v>
      </c>
      <c r="M40" s="11" t="str">
        <f aca="false">VLOOKUP(D40,'DATABASE RO'!$B$3:$M$299,10,0)</f>
        <v>EXCELLENT</v>
      </c>
      <c r="N40" s="11"/>
      <c r="O40" s="11" t="str">
        <f aca="false">VLOOKUP(D40,'DATABASE RO'!$B$3:$M$299,12,0)</f>
        <v>083137531798</v>
      </c>
      <c r="P40" s="11"/>
      <c r="S40" s="9" t="str">
        <f aca="false">B40</f>
        <v>P2</v>
      </c>
      <c r="T40" s="9" t="str">
        <f aca="false">C40</f>
        <v>KENDAL</v>
      </c>
      <c r="U40" s="9" t="str">
        <f aca="false">D40</f>
        <v>1063120250705114</v>
      </c>
      <c r="V40" s="9" t="str">
        <f aca="false">E40</f>
        <v>WACHIDUN</v>
      </c>
      <c r="W40" s="10"/>
      <c r="X40" s="11" t="str">
        <f aca="false">VLOOKUP(V40,'DATABASE RO'!$C$3:$M$185,3,0)</f>
        <v>P19002027842</v>
      </c>
      <c r="Y40" s="11" t="str">
        <f aca="false">VLOOKUP(V40,'DATABASE RO'!$C$3:$M$185,4,0)</f>
        <v>YES</v>
      </c>
      <c r="Z40" s="11" t="str">
        <f aca="false">VLOOKUP(V40,'DATABASE RO'!$C$3:$M$185,5,0)</f>
        <v>Dukuh tamanan, 002, 004, Tamangede, Gemuh, KENDAL, 51356 </v>
      </c>
      <c r="AA40" s="11" t="str">
        <f aca="false">VLOOKUP(V40,'DATABASE RO'!$C$3:$M$185,6,0)</f>
        <v>TAMANGEDE</v>
      </c>
      <c r="AB40" s="11" t="str">
        <f aca="false">VLOOKUP(V40,'DATABASE RO'!$C$3:$M$185,7,0)</f>
        <v>GEMUH</v>
      </c>
      <c r="AC40" s="11" t="str">
        <f aca="false">VLOOKUP(V40,'DATABASE RO'!$C$3:$M$185,8,0)</f>
        <v>https://www.google.com/maps/place/6%C2%B057'25.1%22S+110%C2%B009'00.9%22E/@-6.956966,110.1476631,17z/data=!3m1!4b1!4m4!3m3!8m2!3d-6.956966!4d110.150238?entry=ttu&amp;g_ep=EgoyMDI1MTEwMi4wIKXMDSoASAFQAw%3D%3D</v>
      </c>
      <c r="AD40" s="11" t="n">
        <f aca="false">VLOOKUP(V40,'DATABASE RO'!$C$3:$M$185,9,0)</f>
        <v>0</v>
      </c>
      <c r="AE40" s="11"/>
      <c r="AF40" s="11" t="str">
        <f aca="false">VLOOKUP(V40,'DATABASE RO'!$C$3:$M$185,11,0)</f>
        <v>0831 - 37531798</v>
      </c>
      <c r="AG40" s="11"/>
      <c r="AJ40" s="10"/>
      <c r="AK40" s="10" t="str">
        <f aca="false">B40</f>
        <v>P2</v>
      </c>
      <c r="AL40" s="10" t="str">
        <f aca="false">C40</f>
        <v>KENDAL</v>
      </c>
      <c r="AM40" s="10" t="str">
        <f aca="false">D40</f>
        <v>1063120250705114</v>
      </c>
      <c r="AN40" s="10" t="str">
        <f aca="false">E40</f>
        <v>WACHIDUN</v>
      </c>
      <c r="AO40" s="10" t="str">
        <f aca="false">F40</f>
        <v>Konsumen Aktif M 0 - 6 Lunas</v>
      </c>
      <c r="AP40" s="11" t="str">
        <f aca="false">IFERROR(G40,X40)</f>
        <v>P19002027842                  </v>
      </c>
      <c r="AQ40" s="11" t="str">
        <f aca="false">IFERROR(H40,Y40)</f>
        <v>YES</v>
      </c>
      <c r="AR40" s="11" t="str">
        <f aca="false">IFERROR(I40,Z40)</f>
        <v>DUKUH TAMANAN RT 002 /RW 004, Tamangede, Gemuh, KAB-Kendal, 51356</v>
      </c>
      <c r="AS40" s="11" t="str">
        <f aca="false">IFERROR(J40,AA40)</f>
        <v>Tamangede</v>
      </c>
      <c r="AT40" s="11" t="str">
        <f aca="false">IFERROR(K40,AB40)</f>
        <v>Gemuh</v>
      </c>
      <c r="AU40" s="11" t="str">
        <f aca="false">IFERROR(L40,AC40)</f>
        <v>https://www.google.com/maps?z=12&amp;t=m&amp;q=loc:-6.956966+110.150238</v>
      </c>
      <c r="AV40" s="11" t="str">
        <f aca="false">IFERROR(M40,AD40)</f>
        <v>EXCELLENT</v>
      </c>
      <c r="AW40" s="11" t="n">
        <f aca="false">IFERROR(N40,AE40)</f>
        <v>0</v>
      </c>
      <c r="AX40" s="11" t="str">
        <f aca="false">IFERROR(O40,AF40)</f>
        <v>083137531798</v>
      </c>
    </row>
    <row r="41" customFormat="false" ht="15.75" hidden="false" customHeight="true" outlineLevel="0" collapsed="false">
      <c r="A41" s="9" t="s">
        <v>1</v>
      </c>
      <c r="B41" s="10" t="s">
        <v>18</v>
      </c>
      <c r="C41" s="10" t="s">
        <v>19</v>
      </c>
      <c r="D41" s="10" t="s">
        <v>91</v>
      </c>
      <c r="E41" s="10" t="s">
        <v>92</v>
      </c>
      <c r="F41" s="11" t="s">
        <v>22</v>
      </c>
      <c r="G41" s="11" t="e">
        <f aca="false">VLOOKUP(D41,'DATABASE RO'!$B$3:$M$299,4,0)</f>
        <v>#N/A</v>
      </c>
      <c r="H41" s="11" t="e">
        <f aca="false">VLOOKUP(D41,'DATABASE RO'!$B$3:$M$299,5,0)</f>
        <v>#N/A</v>
      </c>
      <c r="I41" s="11" t="e">
        <f aca="false">VLOOKUP(D41,'DATABASE RO'!$B$3:$M$299,6,0)</f>
        <v>#N/A</v>
      </c>
      <c r="J41" s="11" t="e">
        <f aca="false">VLOOKUP(D41,'DATABASE RO'!$B$3:$M$299,7,0)</f>
        <v>#N/A</v>
      </c>
      <c r="K41" s="11" t="e">
        <f aca="false">VLOOKUP(D41,'DATABASE RO'!$B$3:$M$299,8,0)</f>
        <v>#N/A</v>
      </c>
      <c r="L41" s="11" t="e">
        <f aca="false">VLOOKUP(D41,'DATABASE RO'!$B$3:$M$299,9,0)</f>
        <v>#N/A</v>
      </c>
      <c r="M41" s="11" t="e">
        <f aca="false">VLOOKUP(D41,'DATABASE RO'!$B$3:$M$299,10,0)</f>
        <v>#N/A</v>
      </c>
      <c r="N41" s="11"/>
      <c r="O41" s="11" t="e">
        <f aca="false">VLOOKUP(D41,'DATABASE RO'!$B$3:$M$299,12,0)</f>
        <v>#N/A</v>
      </c>
      <c r="P41" s="11"/>
      <c r="S41" s="9" t="str">
        <f aca="false">B41</f>
        <v>P2</v>
      </c>
      <c r="T41" s="9" t="str">
        <f aca="false">C41</f>
        <v>KENDAL</v>
      </c>
      <c r="U41" s="9" t="str">
        <f aca="false">D41</f>
        <v>1063120250705121</v>
      </c>
      <c r="V41" s="9" t="str">
        <f aca="false">E41</f>
        <v>WITAKU ROHMAN</v>
      </c>
      <c r="W41" s="10"/>
      <c r="X41" s="11" t="e">
        <f aca="false">VLOOKUP(V41,'DATABASE RO'!$C$3:$M$185,3,0)</f>
        <v>#N/A</v>
      </c>
      <c r="Y41" s="11" t="e">
        <f aca="false">VLOOKUP(V41,'DATABASE RO'!$C$3:$M$185,4,0)</f>
        <v>#N/A</v>
      </c>
      <c r="Z41" s="11" t="e">
        <f aca="false">VLOOKUP(V41,'DATABASE RO'!$C$3:$M$185,5,0)</f>
        <v>#N/A</v>
      </c>
      <c r="AA41" s="11" t="e">
        <f aca="false">VLOOKUP(V41,'DATABASE RO'!$C$3:$M$185,6,0)</f>
        <v>#N/A</v>
      </c>
      <c r="AB41" s="11" t="e">
        <f aca="false">VLOOKUP(V41,'DATABASE RO'!$C$3:$M$185,7,0)</f>
        <v>#N/A</v>
      </c>
      <c r="AC41" s="11" t="e">
        <f aca="false">VLOOKUP(V41,'DATABASE RO'!$C$3:$M$185,8,0)</f>
        <v>#N/A</v>
      </c>
      <c r="AD41" s="11" t="e">
        <f aca="false">VLOOKUP(V41,'DATABASE RO'!$C$3:$M$185,9,0)</f>
        <v>#N/A</v>
      </c>
      <c r="AE41" s="11"/>
      <c r="AF41" s="11" t="e">
        <f aca="false">VLOOKUP(V41,'DATABASE RO'!$C$3:$M$185,11,0)</f>
        <v>#N/A</v>
      </c>
      <c r="AG41" s="11"/>
      <c r="AJ41" s="9" t="s">
        <v>1</v>
      </c>
      <c r="AK41" s="10" t="str">
        <f aca="false">B41</f>
        <v>P2</v>
      </c>
      <c r="AL41" s="10" t="str">
        <f aca="false">C41</f>
        <v>KENDAL</v>
      </c>
      <c r="AM41" s="10" t="str">
        <f aca="false">D41</f>
        <v>1063120250705121</v>
      </c>
      <c r="AN41" s="10" t="str">
        <f aca="false">E41</f>
        <v>WITAKU ROHMAN</v>
      </c>
      <c r="AO41" s="10" t="str">
        <f aca="false">F41</f>
        <v>Konsumen Aktif M 0 - 6 Lunas</v>
      </c>
      <c r="AP41" s="11" t="e">
        <f aca="false">IFERROR(G41,X41)</f>
        <v>#N/A</v>
      </c>
      <c r="AQ41" s="11" t="e">
        <f aca="false">IFERROR(H41,Y41)</f>
        <v>#N/A</v>
      </c>
      <c r="AR41" s="11" t="e">
        <f aca="false">IFERROR(I41,Z41)</f>
        <v>#N/A</v>
      </c>
      <c r="AS41" s="11" t="e">
        <f aca="false">IFERROR(J41,AA41)</f>
        <v>#N/A</v>
      </c>
      <c r="AT41" s="11" t="e">
        <f aca="false">IFERROR(K41,AB41)</f>
        <v>#N/A</v>
      </c>
      <c r="AU41" s="11" t="e">
        <f aca="false">IFERROR(L41,AC41)</f>
        <v>#N/A</v>
      </c>
      <c r="AV41" s="11" t="e">
        <f aca="false">IFERROR(M41,AD41)</f>
        <v>#N/A</v>
      </c>
      <c r="AW41" s="11" t="n">
        <f aca="false">IFERROR(N41,AE41)</f>
        <v>0</v>
      </c>
      <c r="AX41" s="11" t="e">
        <f aca="false">IFERROR(O41,AF41)</f>
        <v>#N/A</v>
      </c>
    </row>
    <row r="42" customFormat="false" ht="15.75" hidden="false" customHeight="true" outlineLevel="0" collapsed="false">
      <c r="A42" s="9" t="s">
        <v>1</v>
      </c>
      <c r="B42" s="10" t="s">
        <v>18</v>
      </c>
      <c r="C42" s="10" t="s">
        <v>19</v>
      </c>
      <c r="D42" s="10" t="s">
        <v>93</v>
      </c>
      <c r="E42" s="10" t="s">
        <v>94</v>
      </c>
      <c r="F42" s="11" t="s">
        <v>22</v>
      </c>
      <c r="G42" s="11" t="e">
        <f aca="false">VLOOKUP(D42,'DATABASE RO'!$B$3:$M$299,4,0)</f>
        <v>#N/A</v>
      </c>
      <c r="H42" s="11" t="e">
        <f aca="false">VLOOKUP(D42,'DATABASE RO'!$B$3:$M$299,5,0)</f>
        <v>#N/A</v>
      </c>
      <c r="I42" s="11" t="e">
        <f aca="false">VLOOKUP(D42,'DATABASE RO'!$B$3:$M$299,6,0)</f>
        <v>#N/A</v>
      </c>
      <c r="J42" s="11" t="e">
        <f aca="false">VLOOKUP(D42,'DATABASE RO'!$B$3:$M$299,7,0)</f>
        <v>#N/A</v>
      </c>
      <c r="K42" s="11" t="e">
        <f aca="false">VLOOKUP(D42,'DATABASE RO'!$B$3:$M$299,8,0)</f>
        <v>#N/A</v>
      </c>
      <c r="L42" s="11" t="e">
        <f aca="false">VLOOKUP(D42,'DATABASE RO'!$B$3:$M$299,9,0)</f>
        <v>#N/A</v>
      </c>
      <c r="M42" s="11" t="e">
        <f aca="false">VLOOKUP(D42,'DATABASE RO'!$B$3:$M$299,10,0)</f>
        <v>#N/A</v>
      </c>
      <c r="N42" s="11"/>
      <c r="O42" s="11" t="e">
        <f aca="false">VLOOKUP(D42,'DATABASE RO'!$B$3:$M$299,12,0)</f>
        <v>#N/A</v>
      </c>
      <c r="P42" s="11"/>
      <c r="S42" s="9" t="str">
        <f aca="false">B42</f>
        <v>P2</v>
      </c>
      <c r="T42" s="9" t="str">
        <f aca="false">C42</f>
        <v>KENDAL</v>
      </c>
      <c r="U42" s="9" t="str">
        <f aca="false">D42</f>
        <v>1063120250705135</v>
      </c>
      <c r="V42" s="9" t="str">
        <f aca="false">E42</f>
        <v>MISRU</v>
      </c>
      <c r="W42" s="10"/>
      <c r="X42" s="11" t="str">
        <f aca="false">VLOOKUP(V42,'DATABASE RO'!$C$3:$M$185,3,0)</f>
        <v>CUS063120240808195</v>
      </c>
      <c r="Y42" s="11" t="str">
        <f aca="false">VLOOKUP(V42,'DATABASE RO'!$C$3:$M$185,4,0)</f>
        <v>YES</v>
      </c>
      <c r="Z42" s="11" t="str">
        <f aca="false">VLOOKUP(V42,'DATABASE RO'!$C$3:$M$185,5,0)</f>
        <v> DEMPAL REJO RT 004 /RW 001, Dempelrejo, Ngampel, KAB-Kendal, 51357 </v>
      </c>
      <c r="AA42" s="11" t="str">
        <f aca="false">VLOOKUP(V42,'DATABASE RO'!$C$3:$M$185,6,0)</f>
        <v>Dempelrejo</v>
      </c>
      <c r="AB42" s="11" t="str">
        <f aca="false">VLOOKUP(V42,'DATABASE RO'!$C$3:$M$185,7,0)</f>
        <v>Ngampel</v>
      </c>
      <c r="AC42" s="11" t="str">
        <f aca="false">VLOOKUP(V42,'DATABASE RO'!$C$3:$M$185,8,0)</f>
        <v>https://www.google.com/maps?z=12&amp;t=m&amp;q=loc:-6.962741+110.192389</v>
      </c>
      <c r="AD42" s="11" t="str">
        <f aca="false">VLOOKUP(V42,'DATABASE RO'!$C$3:$M$185,9,0)</f>
        <v>GOOD</v>
      </c>
      <c r="AE42" s="11"/>
      <c r="AF42" s="11" t="str">
        <f aca="false">VLOOKUP(V42,'DATABASE RO'!$C$3:$M$185,11,0)</f>
        <v>087797094946</v>
      </c>
      <c r="AG42" s="11"/>
      <c r="AJ42" s="9" t="s">
        <v>1</v>
      </c>
      <c r="AK42" s="10" t="str">
        <f aca="false">B42</f>
        <v>P2</v>
      </c>
      <c r="AL42" s="10" t="str">
        <f aca="false">C42</f>
        <v>KENDAL</v>
      </c>
      <c r="AM42" s="10" t="str">
        <f aca="false">D42</f>
        <v>1063120250705135</v>
      </c>
      <c r="AN42" s="10" t="str">
        <f aca="false">E42</f>
        <v>MISRU</v>
      </c>
      <c r="AO42" s="10" t="str">
        <f aca="false">F42</f>
        <v>Konsumen Aktif M 0 - 6 Lunas</v>
      </c>
      <c r="AP42" s="11" t="str">
        <f aca="false">IFERROR(G42,X42)</f>
        <v>CUS063120240808195</v>
      </c>
      <c r="AQ42" s="11" t="str">
        <f aca="false">IFERROR(H42,Y42)</f>
        <v>YES</v>
      </c>
      <c r="AR42" s="11" t="str">
        <f aca="false">IFERROR(I42,Z42)</f>
        <v> DEMPAL REJO RT 004 /RW 001, Dempelrejo, Ngampel, KAB-Kendal, 51357 </v>
      </c>
      <c r="AS42" s="11" t="str">
        <f aca="false">IFERROR(J42,AA42)</f>
        <v>Dempelrejo</v>
      </c>
      <c r="AT42" s="11" t="str">
        <f aca="false">IFERROR(K42,AB42)</f>
        <v>Ngampel</v>
      </c>
      <c r="AU42" s="11" t="str">
        <f aca="false">IFERROR(L42,AC42)</f>
        <v>https://www.google.com/maps?z=12&amp;t=m&amp;q=loc:-6.962741+110.192389</v>
      </c>
      <c r="AV42" s="11" t="str">
        <f aca="false">IFERROR(M42,AD42)</f>
        <v>GOOD</v>
      </c>
      <c r="AW42" s="11" t="n">
        <f aca="false">IFERROR(N42,AE42)</f>
        <v>0</v>
      </c>
      <c r="AX42" s="11" t="str">
        <f aca="false">IFERROR(O42,AF42)</f>
        <v>087797094946</v>
      </c>
    </row>
    <row r="43" customFormat="false" ht="15.75" hidden="false" customHeight="true" outlineLevel="0" collapsed="false">
      <c r="A43" s="10"/>
      <c r="B43" s="10" t="s">
        <v>18</v>
      </c>
      <c r="C43" s="10" t="s">
        <v>19</v>
      </c>
      <c r="D43" s="10" t="s">
        <v>95</v>
      </c>
      <c r="E43" s="10" t="s">
        <v>96</v>
      </c>
      <c r="F43" s="11" t="s">
        <v>22</v>
      </c>
      <c r="G43" s="11" t="str">
        <f aca="false">VLOOKUP(D43,'DATABASE RO'!$B$3:$M$299,4,0)</f>
        <v>CUS063120230907742            </v>
      </c>
      <c r="H43" s="11" t="str">
        <f aca="false">VLOOKUP(D43,'DATABASE RO'!$B$3:$M$299,5,0)</f>
        <v>YES</v>
      </c>
      <c r="I43" s="11" t="str">
        <f aca="false">VLOOKUP(D43,'DATABASE RO'!$B$3:$M$299,6,0)</f>
        <v>NGLUMBU RT 005 /RW 006, Tejorejo, Ringinarum, KAB-Kendal, 51356</v>
      </c>
      <c r="J43" s="11" t="str">
        <f aca="false">VLOOKUP(D43,'DATABASE RO'!$B$3:$M$299,7,0)</f>
        <v>Tejorejo</v>
      </c>
      <c r="K43" s="11" t="str">
        <f aca="false">VLOOKUP(D43,'DATABASE RO'!$B$3:$M$299,8,0)</f>
        <v>Ringinarum</v>
      </c>
      <c r="L43" s="11" t="str">
        <f aca="false">VLOOKUP(D43,'DATABASE RO'!$B$3:$M$299,9,0)</f>
        <v>https://www.google.com/maps?z=12&amp;t=m&amp;q=loc:-7.007550+110.096400</v>
      </c>
      <c r="M43" s="11" t="str">
        <f aca="false">VLOOKUP(D43,'DATABASE RO'!$B$3:$M$299,10,0)</f>
        <v>EXCELLENT</v>
      </c>
      <c r="N43" s="11"/>
      <c r="O43" s="11" t="str">
        <f aca="false">VLOOKUP(D43,'DATABASE RO'!$B$3:$M$299,12,0)</f>
        <v>082112762289</v>
      </c>
      <c r="P43" s="11"/>
      <c r="S43" s="9" t="str">
        <f aca="false">B43</f>
        <v>P2</v>
      </c>
      <c r="T43" s="9" t="str">
        <f aca="false">C43</f>
        <v>KENDAL</v>
      </c>
      <c r="U43" s="9" t="str">
        <f aca="false">D43</f>
        <v>1063120250705136</v>
      </c>
      <c r="V43" s="9" t="str">
        <f aca="false">E43</f>
        <v>SUDIRO</v>
      </c>
      <c r="W43" s="10"/>
      <c r="X43" s="11" t="str">
        <f aca="false">VLOOKUP(V43,'DATABASE RO'!$C$3:$M$185,3,0)</f>
        <v>CUS063120230907742            </v>
      </c>
      <c r="Y43" s="11" t="str">
        <f aca="false">VLOOKUP(V43,'DATABASE RO'!$C$3:$M$185,4,0)</f>
        <v>YES</v>
      </c>
      <c r="Z43" s="11" t="str">
        <f aca="false">VLOOKUP(V43,'DATABASE RO'!$C$3:$M$185,5,0)</f>
        <v>NGLUMBU RT 005 /RW 006, Tejorejo, Ringinarum, KAB-Kendal, 51356</v>
      </c>
      <c r="AA43" s="11" t="str">
        <f aca="false">VLOOKUP(V43,'DATABASE RO'!$C$3:$M$185,6,0)</f>
        <v>Tejorejo</v>
      </c>
      <c r="AB43" s="11" t="str">
        <f aca="false">VLOOKUP(V43,'DATABASE RO'!$C$3:$M$185,7,0)</f>
        <v>Ringinarum</v>
      </c>
      <c r="AC43" s="11" t="str">
        <f aca="false">VLOOKUP(V43,'DATABASE RO'!$C$3:$M$185,8,0)</f>
        <v>https://www.google.com/maps?z=12&amp;t=m&amp;q=loc:-7.007550+110.096400</v>
      </c>
      <c r="AD43" s="11" t="str">
        <f aca="false">VLOOKUP(V43,'DATABASE RO'!$C$3:$M$185,9,0)</f>
        <v>EXCELLENT</v>
      </c>
      <c r="AE43" s="11"/>
      <c r="AF43" s="11" t="str">
        <f aca="false">VLOOKUP(V43,'DATABASE RO'!$C$3:$M$185,11,0)</f>
        <v>082112762289</v>
      </c>
      <c r="AG43" s="11"/>
      <c r="AJ43" s="10"/>
      <c r="AK43" s="10" t="str">
        <f aca="false">B43</f>
        <v>P2</v>
      </c>
      <c r="AL43" s="10" t="str">
        <f aca="false">C43</f>
        <v>KENDAL</v>
      </c>
      <c r="AM43" s="10" t="str">
        <f aca="false">D43</f>
        <v>1063120250705136</v>
      </c>
      <c r="AN43" s="10" t="str">
        <f aca="false">E43</f>
        <v>SUDIRO</v>
      </c>
      <c r="AO43" s="10" t="str">
        <f aca="false">F43</f>
        <v>Konsumen Aktif M 0 - 6 Lunas</v>
      </c>
      <c r="AP43" s="11" t="str">
        <f aca="false">IFERROR(G43,X43)</f>
        <v>CUS063120230907742            </v>
      </c>
      <c r="AQ43" s="11" t="str">
        <f aca="false">IFERROR(H43,Y43)</f>
        <v>YES</v>
      </c>
      <c r="AR43" s="11" t="str">
        <f aca="false">IFERROR(I43,Z43)</f>
        <v>NGLUMBU RT 005 /RW 006, Tejorejo, Ringinarum, KAB-Kendal, 51356</v>
      </c>
      <c r="AS43" s="11" t="str">
        <f aca="false">IFERROR(J43,AA43)</f>
        <v>Tejorejo</v>
      </c>
      <c r="AT43" s="11" t="str">
        <f aca="false">IFERROR(K43,AB43)</f>
        <v>Ringinarum</v>
      </c>
      <c r="AU43" s="11" t="str">
        <f aca="false">IFERROR(L43,AC43)</f>
        <v>https://www.google.com/maps?z=12&amp;t=m&amp;q=loc:-7.007550+110.096400</v>
      </c>
      <c r="AV43" s="11" t="str">
        <f aca="false">IFERROR(M43,AD43)</f>
        <v>EXCELLENT</v>
      </c>
      <c r="AW43" s="11" t="n">
        <f aca="false">IFERROR(N43,AE43)</f>
        <v>0</v>
      </c>
      <c r="AX43" s="11" t="str">
        <f aca="false">IFERROR(O43,AF43)</f>
        <v>082112762289</v>
      </c>
    </row>
    <row r="44" customFormat="false" ht="15.75" hidden="false" customHeight="true" outlineLevel="0" collapsed="false">
      <c r="A44" s="9" t="s">
        <v>1</v>
      </c>
      <c r="B44" s="10" t="s">
        <v>18</v>
      </c>
      <c r="C44" s="10" t="s">
        <v>19</v>
      </c>
      <c r="D44" s="10" t="s">
        <v>97</v>
      </c>
      <c r="E44" s="10" t="s">
        <v>98</v>
      </c>
      <c r="F44" s="11" t="s">
        <v>22</v>
      </c>
      <c r="G44" s="11" t="e">
        <f aca="false">VLOOKUP(D44,'DATABASE RO'!$B$3:$M$299,4,0)</f>
        <v>#N/A</v>
      </c>
      <c r="H44" s="11" t="e">
        <f aca="false">VLOOKUP(D44,'DATABASE RO'!$B$3:$M$299,5,0)</f>
        <v>#N/A</v>
      </c>
      <c r="I44" s="11" t="e">
        <f aca="false">VLOOKUP(D44,'DATABASE RO'!$B$3:$M$299,6,0)</f>
        <v>#N/A</v>
      </c>
      <c r="J44" s="11" t="e">
        <f aca="false">VLOOKUP(D44,'DATABASE RO'!$B$3:$M$299,7,0)</f>
        <v>#N/A</v>
      </c>
      <c r="K44" s="11" t="e">
        <f aca="false">VLOOKUP(D44,'DATABASE RO'!$B$3:$M$299,8,0)</f>
        <v>#N/A</v>
      </c>
      <c r="L44" s="11" t="e">
        <f aca="false">VLOOKUP(D44,'DATABASE RO'!$B$3:$M$299,9,0)</f>
        <v>#N/A</v>
      </c>
      <c r="M44" s="11" t="e">
        <f aca="false">VLOOKUP(D44,'DATABASE RO'!$B$3:$M$299,10,0)</f>
        <v>#N/A</v>
      </c>
      <c r="N44" s="11"/>
      <c r="O44" s="11" t="e">
        <f aca="false">VLOOKUP(D44,'DATABASE RO'!$B$3:$M$299,12,0)</f>
        <v>#N/A</v>
      </c>
      <c r="P44" s="11"/>
      <c r="S44" s="9" t="str">
        <f aca="false">B44</f>
        <v>P2</v>
      </c>
      <c r="T44" s="9" t="str">
        <f aca="false">C44</f>
        <v>KENDAL</v>
      </c>
      <c r="U44" s="9" t="str">
        <f aca="false">D44</f>
        <v>1063120250705154</v>
      </c>
      <c r="V44" s="9" t="str">
        <f aca="false">E44</f>
        <v>RONAL EKA PRADITA</v>
      </c>
      <c r="W44" s="10"/>
      <c r="X44" s="11" t="e">
        <f aca="false">VLOOKUP(V44,'DATABASE RO'!$C$3:$M$185,3,0)</f>
        <v>#N/A</v>
      </c>
      <c r="Y44" s="11" t="e">
        <f aca="false">VLOOKUP(V44,'DATABASE RO'!$C$3:$M$185,4,0)</f>
        <v>#N/A</v>
      </c>
      <c r="Z44" s="11" t="e">
        <f aca="false">VLOOKUP(V44,'DATABASE RO'!$C$3:$M$185,5,0)</f>
        <v>#N/A</v>
      </c>
      <c r="AA44" s="11" t="e">
        <f aca="false">VLOOKUP(V44,'DATABASE RO'!$C$3:$M$185,6,0)</f>
        <v>#N/A</v>
      </c>
      <c r="AB44" s="11" t="e">
        <f aca="false">VLOOKUP(V44,'DATABASE RO'!$C$3:$M$185,7,0)</f>
        <v>#N/A</v>
      </c>
      <c r="AC44" s="11" t="e">
        <f aca="false">VLOOKUP(V44,'DATABASE RO'!$C$3:$M$185,8,0)</f>
        <v>#N/A</v>
      </c>
      <c r="AD44" s="11" t="e">
        <f aca="false">VLOOKUP(V44,'DATABASE RO'!$C$3:$M$185,9,0)</f>
        <v>#N/A</v>
      </c>
      <c r="AE44" s="11"/>
      <c r="AF44" s="11" t="e">
        <f aca="false">VLOOKUP(V44,'DATABASE RO'!$C$3:$M$185,11,0)</f>
        <v>#N/A</v>
      </c>
      <c r="AG44" s="11"/>
      <c r="AJ44" s="9" t="s">
        <v>1</v>
      </c>
      <c r="AK44" s="10" t="str">
        <f aca="false">B44</f>
        <v>P2</v>
      </c>
      <c r="AL44" s="10" t="str">
        <f aca="false">C44</f>
        <v>KENDAL</v>
      </c>
      <c r="AM44" s="10" t="str">
        <f aca="false">D44</f>
        <v>1063120250705154</v>
      </c>
      <c r="AN44" s="10" t="str">
        <f aca="false">E44</f>
        <v>RONAL EKA PRADITA</v>
      </c>
      <c r="AO44" s="10" t="str">
        <f aca="false">F44</f>
        <v>Konsumen Aktif M 0 - 6 Lunas</v>
      </c>
      <c r="AP44" s="11" t="e">
        <f aca="false">IFERROR(G44,X44)</f>
        <v>#N/A</v>
      </c>
      <c r="AQ44" s="11" t="e">
        <f aca="false">IFERROR(H44,Y44)</f>
        <v>#N/A</v>
      </c>
      <c r="AR44" s="11" t="e">
        <f aca="false">IFERROR(I44,Z44)</f>
        <v>#N/A</v>
      </c>
      <c r="AS44" s="11" t="e">
        <f aca="false">IFERROR(J44,AA44)</f>
        <v>#N/A</v>
      </c>
      <c r="AT44" s="11" t="e">
        <f aca="false">IFERROR(K44,AB44)</f>
        <v>#N/A</v>
      </c>
      <c r="AU44" s="11" t="e">
        <f aca="false">IFERROR(L44,AC44)</f>
        <v>#N/A</v>
      </c>
      <c r="AV44" s="11" t="e">
        <f aca="false">IFERROR(M44,AD44)</f>
        <v>#N/A</v>
      </c>
      <c r="AW44" s="11" t="n">
        <f aca="false">IFERROR(N44,AE44)</f>
        <v>0</v>
      </c>
      <c r="AX44" s="11" t="e">
        <f aca="false">IFERROR(O44,AF44)</f>
        <v>#N/A</v>
      </c>
    </row>
    <row r="45" customFormat="false" ht="15.75" hidden="false" customHeight="true" outlineLevel="0" collapsed="false">
      <c r="A45" s="9" t="s">
        <v>1</v>
      </c>
      <c r="B45" s="10" t="s">
        <v>18</v>
      </c>
      <c r="C45" s="10" t="s">
        <v>19</v>
      </c>
      <c r="D45" s="10" t="s">
        <v>99</v>
      </c>
      <c r="E45" s="10" t="s">
        <v>100</v>
      </c>
      <c r="F45" s="11" t="s">
        <v>22</v>
      </c>
      <c r="G45" s="11" t="e">
        <f aca="false">VLOOKUP(D45,'DATABASE RO'!$B$3:$M$299,4,0)</f>
        <v>#N/A</v>
      </c>
      <c r="H45" s="11" t="e">
        <f aca="false">VLOOKUP(D45,'DATABASE RO'!$B$3:$M$299,5,0)</f>
        <v>#N/A</v>
      </c>
      <c r="I45" s="11" t="e">
        <f aca="false">VLOOKUP(D45,'DATABASE RO'!$B$3:$M$299,6,0)</f>
        <v>#N/A</v>
      </c>
      <c r="J45" s="11" t="e">
        <f aca="false">VLOOKUP(D45,'DATABASE RO'!$B$3:$M$299,7,0)</f>
        <v>#N/A</v>
      </c>
      <c r="K45" s="11" t="e">
        <f aca="false">VLOOKUP(D45,'DATABASE RO'!$B$3:$M$299,8,0)</f>
        <v>#N/A</v>
      </c>
      <c r="L45" s="11" t="e">
        <f aca="false">VLOOKUP(D45,'DATABASE RO'!$B$3:$M$299,9,0)</f>
        <v>#N/A</v>
      </c>
      <c r="M45" s="11" t="e">
        <f aca="false">VLOOKUP(D45,'DATABASE RO'!$B$3:$M$299,10,0)</f>
        <v>#N/A</v>
      </c>
      <c r="N45" s="11"/>
      <c r="O45" s="11" t="e">
        <f aca="false">VLOOKUP(D45,'DATABASE RO'!$B$3:$M$299,12,0)</f>
        <v>#N/A</v>
      </c>
      <c r="P45" s="11"/>
      <c r="S45" s="9" t="str">
        <f aca="false">B45</f>
        <v>P2</v>
      </c>
      <c r="T45" s="9" t="str">
        <f aca="false">C45</f>
        <v>KENDAL</v>
      </c>
      <c r="U45" s="9" t="str">
        <f aca="false">D45</f>
        <v>1063120250805166</v>
      </c>
      <c r="V45" s="9" t="str">
        <f aca="false">E45</f>
        <v>MUH PUJI NUR HIDAYAT</v>
      </c>
      <c r="W45" s="10"/>
      <c r="X45" s="11" t="e">
        <f aca="false">VLOOKUP(V45,'DATABASE RO'!$C$3:$M$185,3,0)</f>
        <v>#N/A</v>
      </c>
      <c r="Y45" s="11" t="e">
        <f aca="false">VLOOKUP(V45,'DATABASE RO'!$C$3:$M$185,4,0)</f>
        <v>#N/A</v>
      </c>
      <c r="Z45" s="11" t="e">
        <f aca="false">VLOOKUP(V45,'DATABASE RO'!$C$3:$M$185,5,0)</f>
        <v>#N/A</v>
      </c>
      <c r="AA45" s="11" t="e">
        <f aca="false">VLOOKUP(V45,'DATABASE RO'!$C$3:$M$185,6,0)</f>
        <v>#N/A</v>
      </c>
      <c r="AB45" s="11" t="e">
        <f aca="false">VLOOKUP(V45,'DATABASE RO'!$C$3:$M$185,7,0)</f>
        <v>#N/A</v>
      </c>
      <c r="AC45" s="11" t="e">
        <f aca="false">VLOOKUP(V45,'DATABASE RO'!$C$3:$M$185,8,0)</f>
        <v>#N/A</v>
      </c>
      <c r="AD45" s="11" t="e">
        <f aca="false">VLOOKUP(V45,'DATABASE RO'!$C$3:$M$185,9,0)</f>
        <v>#N/A</v>
      </c>
      <c r="AE45" s="11"/>
      <c r="AF45" s="11" t="e">
        <f aca="false">VLOOKUP(V45,'DATABASE RO'!$C$3:$M$185,11,0)</f>
        <v>#N/A</v>
      </c>
      <c r="AG45" s="11"/>
      <c r="AJ45" s="9" t="s">
        <v>1</v>
      </c>
      <c r="AK45" s="10" t="str">
        <f aca="false">B45</f>
        <v>P2</v>
      </c>
      <c r="AL45" s="10" t="str">
        <f aca="false">C45</f>
        <v>KENDAL</v>
      </c>
      <c r="AM45" s="10" t="str">
        <f aca="false">D45</f>
        <v>1063120250805166</v>
      </c>
      <c r="AN45" s="10" t="str">
        <f aca="false">E45</f>
        <v>MUH PUJI NUR HIDAYAT</v>
      </c>
      <c r="AO45" s="10" t="str">
        <f aca="false">F45</f>
        <v>Konsumen Aktif M 0 - 6 Lunas</v>
      </c>
      <c r="AP45" s="11" t="e">
        <f aca="false">IFERROR(G45,X45)</f>
        <v>#N/A</v>
      </c>
      <c r="AQ45" s="11" t="e">
        <f aca="false">IFERROR(H45,Y45)</f>
        <v>#N/A</v>
      </c>
      <c r="AR45" s="11" t="e">
        <f aca="false">IFERROR(I45,Z45)</f>
        <v>#N/A</v>
      </c>
      <c r="AS45" s="11" t="e">
        <f aca="false">IFERROR(J45,AA45)</f>
        <v>#N/A</v>
      </c>
      <c r="AT45" s="11" t="e">
        <f aca="false">IFERROR(K45,AB45)</f>
        <v>#N/A</v>
      </c>
      <c r="AU45" s="11" t="e">
        <f aca="false">IFERROR(L45,AC45)</f>
        <v>#N/A</v>
      </c>
      <c r="AV45" s="11" t="e">
        <f aca="false">IFERROR(M45,AD45)</f>
        <v>#N/A</v>
      </c>
      <c r="AW45" s="11" t="n">
        <f aca="false">IFERROR(N45,AE45)</f>
        <v>0</v>
      </c>
      <c r="AX45" s="11" t="e">
        <f aca="false">IFERROR(O45,AF45)</f>
        <v>#N/A</v>
      </c>
    </row>
    <row r="46" customFormat="false" ht="15.75" hidden="false" customHeight="true" outlineLevel="0" collapsed="false">
      <c r="A46" s="9" t="s">
        <v>1</v>
      </c>
      <c r="B46" s="10" t="s">
        <v>18</v>
      </c>
      <c r="C46" s="10" t="s">
        <v>19</v>
      </c>
      <c r="D46" s="10" t="s">
        <v>101</v>
      </c>
      <c r="E46" s="10" t="s">
        <v>102</v>
      </c>
      <c r="F46" s="11" t="s">
        <v>22</v>
      </c>
      <c r="G46" s="11" t="e">
        <f aca="false">VLOOKUP(D46,'DATABASE RO'!$B$3:$M$299,4,0)</f>
        <v>#N/A</v>
      </c>
      <c r="H46" s="11" t="e">
        <f aca="false">VLOOKUP(D46,'DATABASE RO'!$B$3:$M$299,5,0)</f>
        <v>#N/A</v>
      </c>
      <c r="I46" s="11" t="e">
        <f aca="false">VLOOKUP(D46,'DATABASE RO'!$B$3:$M$299,6,0)</f>
        <v>#N/A</v>
      </c>
      <c r="J46" s="11" t="e">
        <f aca="false">VLOOKUP(D46,'DATABASE RO'!$B$3:$M$299,7,0)</f>
        <v>#N/A</v>
      </c>
      <c r="K46" s="11" t="e">
        <f aca="false">VLOOKUP(D46,'DATABASE RO'!$B$3:$M$299,8,0)</f>
        <v>#N/A</v>
      </c>
      <c r="L46" s="11" t="e">
        <f aca="false">VLOOKUP(D46,'DATABASE RO'!$B$3:$M$299,9,0)</f>
        <v>#N/A</v>
      </c>
      <c r="M46" s="11" t="e">
        <f aca="false">VLOOKUP(D46,'DATABASE RO'!$B$3:$M$299,10,0)</f>
        <v>#N/A</v>
      </c>
      <c r="N46" s="11"/>
      <c r="O46" s="11" t="e">
        <f aca="false">VLOOKUP(D46,'DATABASE RO'!$B$3:$M$299,12,0)</f>
        <v>#N/A</v>
      </c>
      <c r="P46" s="11"/>
      <c r="S46" s="9" t="str">
        <f aca="false">B46</f>
        <v>P2</v>
      </c>
      <c r="T46" s="9" t="str">
        <f aca="false">C46</f>
        <v>KENDAL</v>
      </c>
      <c r="U46" s="9" t="str">
        <f aca="false">D46</f>
        <v>1063120250805167</v>
      </c>
      <c r="V46" s="9" t="str">
        <f aca="false">E46</f>
        <v>SURTI</v>
      </c>
      <c r="W46" s="10"/>
      <c r="X46" s="11" t="str">
        <f aca="false">VLOOKUP(V46,'DATABASE RO'!$C$3:$M$185,3,0)</f>
        <v>P19002049219</v>
      </c>
      <c r="Y46" s="11" t="str">
        <f aca="false">VLOOKUP(V46,'DATABASE RO'!$C$3:$M$185,4,0)</f>
        <v>NO</v>
      </c>
      <c r="Z46" s="11" t="str">
        <f aca="false">VLOOKUP(V46,'DATABASE RO'!$C$3:$M$185,5,0)</f>
        <v>DUKUH SUWARU RT 008 /RW 002, Laban, Kangkung, KAB-Kendal, 51353</v>
      </c>
      <c r="AA46" s="11" t="str">
        <f aca="false">VLOOKUP(V46,'DATABASE RO'!$C$3:$M$185,6,0)</f>
        <v>LABAN</v>
      </c>
      <c r="AB46" s="11" t="str">
        <f aca="false">VLOOKUP(V46,'DATABASE RO'!$C$3:$M$185,7,0)</f>
        <v>Kangkung</v>
      </c>
      <c r="AC46" s="11" t="str">
        <f aca="false">VLOOKUP(V46,'DATABASE RO'!$C$3:$M$185,8,0)</f>
        <v>https://www.google.com/maps?z=12&amp;t=m&amp;q=loc:-6.910637+110.098227</v>
      </c>
      <c r="AD46" s="11" t="str">
        <f aca="false">VLOOKUP(V46,'DATABASE RO'!$C$3:$M$185,9,0)</f>
        <v>GOOD</v>
      </c>
      <c r="AE46" s="11"/>
      <c r="AF46" s="11" t="n">
        <f aca="false">VLOOKUP(V46,'DATABASE RO'!$C$3:$M$185,11,0)</f>
        <v>85700526414</v>
      </c>
      <c r="AG46" s="11"/>
      <c r="AJ46" s="9" t="s">
        <v>1</v>
      </c>
      <c r="AK46" s="10" t="str">
        <f aca="false">B46</f>
        <v>P2</v>
      </c>
      <c r="AL46" s="10" t="str">
        <f aca="false">C46</f>
        <v>KENDAL</v>
      </c>
      <c r="AM46" s="10" t="str">
        <f aca="false">D46</f>
        <v>1063120250805167</v>
      </c>
      <c r="AN46" s="10" t="str">
        <f aca="false">E46</f>
        <v>SURTI</v>
      </c>
      <c r="AO46" s="10" t="str">
        <f aca="false">F46</f>
        <v>Konsumen Aktif M 0 - 6 Lunas</v>
      </c>
      <c r="AP46" s="11" t="str">
        <f aca="false">IFERROR(G46,X46)</f>
        <v>P19002049219</v>
      </c>
      <c r="AQ46" s="11" t="str">
        <f aca="false">IFERROR(H46,Y46)</f>
        <v>NO</v>
      </c>
      <c r="AR46" s="11" t="str">
        <f aca="false">IFERROR(I46,Z46)</f>
        <v>DUKUH SUWARU RT 008 /RW 002, Laban, Kangkung, KAB-Kendal, 51353</v>
      </c>
      <c r="AS46" s="11" t="str">
        <f aca="false">IFERROR(J46,AA46)</f>
        <v>LABAN</v>
      </c>
      <c r="AT46" s="11" t="str">
        <f aca="false">IFERROR(K46,AB46)</f>
        <v>Kangkung</v>
      </c>
      <c r="AU46" s="11" t="str">
        <f aca="false">IFERROR(L46,AC46)</f>
        <v>https://www.google.com/maps?z=12&amp;t=m&amp;q=loc:-6.910637+110.098227</v>
      </c>
      <c r="AV46" s="11" t="str">
        <f aca="false">IFERROR(M46,AD46)</f>
        <v>GOOD</v>
      </c>
      <c r="AW46" s="11" t="n">
        <f aca="false">IFERROR(N46,AE46)</f>
        <v>0</v>
      </c>
      <c r="AX46" s="11" t="n">
        <f aca="false">IFERROR(O46,AF46)</f>
        <v>85700526414</v>
      </c>
    </row>
    <row r="47" customFormat="false" ht="15.75" hidden="false" customHeight="true" outlineLevel="0" collapsed="false">
      <c r="A47" s="9" t="s">
        <v>1</v>
      </c>
      <c r="B47" s="10" t="s">
        <v>18</v>
      </c>
      <c r="C47" s="10" t="s">
        <v>19</v>
      </c>
      <c r="D47" s="10" t="s">
        <v>103</v>
      </c>
      <c r="E47" s="10" t="s">
        <v>104</v>
      </c>
      <c r="F47" s="11" t="s">
        <v>22</v>
      </c>
      <c r="G47" s="11" t="e">
        <f aca="false">VLOOKUP(D47,'DATABASE RO'!$B$3:$M$299,4,0)</f>
        <v>#N/A</v>
      </c>
      <c r="H47" s="11" t="e">
        <f aca="false">VLOOKUP(D47,'DATABASE RO'!$B$3:$M$299,5,0)</f>
        <v>#N/A</v>
      </c>
      <c r="I47" s="11" t="e">
        <f aca="false">VLOOKUP(D47,'DATABASE RO'!$B$3:$M$299,6,0)</f>
        <v>#N/A</v>
      </c>
      <c r="J47" s="11" t="e">
        <f aca="false">VLOOKUP(D47,'DATABASE RO'!$B$3:$M$299,7,0)</f>
        <v>#N/A</v>
      </c>
      <c r="K47" s="11" t="e">
        <f aca="false">VLOOKUP(D47,'DATABASE RO'!$B$3:$M$299,8,0)</f>
        <v>#N/A</v>
      </c>
      <c r="L47" s="11" t="e">
        <f aca="false">VLOOKUP(D47,'DATABASE RO'!$B$3:$M$299,9,0)</f>
        <v>#N/A</v>
      </c>
      <c r="M47" s="11" t="e">
        <f aca="false">VLOOKUP(D47,'DATABASE RO'!$B$3:$M$299,10,0)</f>
        <v>#N/A</v>
      </c>
      <c r="N47" s="11"/>
      <c r="O47" s="11" t="e">
        <f aca="false">VLOOKUP(D47,'DATABASE RO'!$B$3:$M$299,12,0)</f>
        <v>#N/A</v>
      </c>
      <c r="P47" s="11"/>
      <c r="S47" s="9" t="str">
        <f aca="false">B47</f>
        <v>P2</v>
      </c>
      <c r="T47" s="9" t="str">
        <f aca="false">C47</f>
        <v>KENDAL</v>
      </c>
      <c r="U47" s="9" t="str">
        <f aca="false">D47</f>
        <v>1063120250805189</v>
      </c>
      <c r="V47" s="9" t="str">
        <f aca="false">E47</f>
        <v>DEWI ERNAWATI</v>
      </c>
      <c r="W47" s="10"/>
      <c r="X47" s="11" t="e">
        <f aca="false">VLOOKUP(V47,'DATABASE RO'!$C$3:$M$185,3,0)</f>
        <v>#N/A</v>
      </c>
      <c r="Y47" s="11" t="e">
        <f aca="false">VLOOKUP(V47,'DATABASE RO'!$C$3:$M$185,4,0)</f>
        <v>#N/A</v>
      </c>
      <c r="Z47" s="11" t="e">
        <f aca="false">VLOOKUP(V47,'DATABASE RO'!$C$3:$M$185,5,0)</f>
        <v>#N/A</v>
      </c>
      <c r="AA47" s="11" t="e">
        <f aca="false">VLOOKUP(V47,'DATABASE RO'!$C$3:$M$185,6,0)</f>
        <v>#N/A</v>
      </c>
      <c r="AB47" s="11" t="e">
        <f aca="false">VLOOKUP(V47,'DATABASE RO'!$C$3:$M$185,7,0)</f>
        <v>#N/A</v>
      </c>
      <c r="AC47" s="11" t="e">
        <f aca="false">VLOOKUP(V47,'DATABASE RO'!$C$3:$M$185,8,0)</f>
        <v>#N/A</v>
      </c>
      <c r="AD47" s="11" t="e">
        <f aca="false">VLOOKUP(V47,'DATABASE RO'!$C$3:$M$185,9,0)</f>
        <v>#N/A</v>
      </c>
      <c r="AE47" s="11"/>
      <c r="AF47" s="11" t="e">
        <f aca="false">VLOOKUP(V47,'DATABASE RO'!$C$3:$M$185,11,0)</f>
        <v>#N/A</v>
      </c>
      <c r="AG47" s="11"/>
      <c r="AJ47" s="9" t="s">
        <v>1</v>
      </c>
      <c r="AK47" s="10" t="str">
        <f aca="false">B47</f>
        <v>P2</v>
      </c>
      <c r="AL47" s="10" t="str">
        <f aca="false">C47</f>
        <v>KENDAL</v>
      </c>
      <c r="AM47" s="10" t="str">
        <f aca="false">D47</f>
        <v>1063120250805189</v>
      </c>
      <c r="AN47" s="10" t="str">
        <f aca="false">E47</f>
        <v>DEWI ERNAWATI</v>
      </c>
      <c r="AO47" s="10" t="str">
        <f aca="false">F47</f>
        <v>Konsumen Aktif M 0 - 6 Lunas</v>
      </c>
      <c r="AP47" s="11" t="e">
        <f aca="false">IFERROR(G47,X47)</f>
        <v>#N/A</v>
      </c>
      <c r="AQ47" s="11" t="e">
        <f aca="false">IFERROR(H47,Y47)</f>
        <v>#N/A</v>
      </c>
      <c r="AR47" s="11" t="e">
        <f aca="false">IFERROR(I47,Z47)</f>
        <v>#N/A</v>
      </c>
      <c r="AS47" s="11" t="e">
        <f aca="false">IFERROR(J47,AA47)</f>
        <v>#N/A</v>
      </c>
      <c r="AT47" s="11" t="e">
        <f aca="false">IFERROR(K47,AB47)</f>
        <v>#N/A</v>
      </c>
      <c r="AU47" s="11" t="e">
        <f aca="false">IFERROR(L47,AC47)</f>
        <v>#N/A</v>
      </c>
      <c r="AV47" s="11" t="e">
        <f aca="false">IFERROR(M47,AD47)</f>
        <v>#N/A</v>
      </c>
      <c r="AW47" s="11" t="n">
        <f aca="false">IFERROR(N47,AE47)</f>
        <v>0</v>
      </c>
      <c r="AX47" s="11" t="e">
        <f aca="false">IFERROR(O47,AF47)</f>
        <v>#N/A</v>
      </c>
    </row>
    <row r="48" customFormat="false" ht="15.75" hidden="false" customHeight="true" outlineLevel="0" collapsed="false">
      <c r="A48" s="9" t="s">
        <v>1</v>
      </c>
      <c r="B48" s="10" t="s">
        <v>18</v>
      </c>
      <c r="C48" s="10" t="s">
        <v>19</v>
      </c>
      <c r="D48" s="10" t="s">
        <v>105</v>
      </c>
      <c r="E48" s="10" t="s">
        <v>106</v>
      </c>
      <c r="F48" s="11" t="s">
        <v>22</v>
      </c>
      <c r="G48" s="11" t="e">
        <f aca="false">VLOOKUP(D48,'DATABASE RO'!$B$3:$M$299,4,0)</f>
        <v>#N/A</v>
      </c>
      <c r="H48" s="11" t="e">
        <f aca="false">VLOOKUP(D48,'DATABASE RO'!$B$3:$M$299,5,0)</f>
        <v>#N/A</v>
      </c>
      <c r="I48" s="11" t="e">
        <f aca="false">VLOOKUP(D48,'DATABASE RO'!$B$3:$M$299,6,0)</f>
        <v>#N/A</v>
      </c>
      <c r="J48" s="11" t="e">
        <f aca="false">VLOOKUP(D48,'DATABASE RO'!$B$3:$M$299,7,0)</f>
        <v>#N/A</v>
      </c>
      <c r="K48" s="11" t="e">
        <f aca="false">VLOOKUP(D48,'DATABASE RO'!$B$3:$M$299,8,0)</f>
        <v>#N/A</v>
      </c>
      <c r="L48" s="11" t="e">
        <f aca="false">VLOOKUP(D48,'DATABASE RO'!$B$3:$M$299,9,0)</f>
        <v>#N/A</v>
      </c>
      <c r="M48" s="11" t="e">
        <f aca="false">VLOOKUP(D48,'DATABASE RO'!$B$3:$M$299,10,0)</f>
        <v>#N/A</v>
      </c>
      <c r="N48" s="11"/>
      <c r="O48" s="11" t="e">
        <f aca="false">VLOOKUP(D48,'DATABASE RO'!$B$3:$M$299,12,0)</f>
        <v>#N/A</v>
      </c>
      <c r="P48" s="11"/>
      <c r="S48" s="9" t="str">
        <f aca="false">B48</f>
        <v>P2</v>
      </c>
      <c r="T48" s="9" t="str">
        <f aca="false">C48</f>
        <v>KENDAL</v>
      </c>
      <c r="U48" s="9" t="str">
        <f aca="false">D48</f>
        <v>1063120250805199</v>
      </c>
      <c r="V48" s="9" t="str">
        <f aca="false">E48</f>
        <v>Carkubi</v>
      </c>
      <c r="W48" s="10"/>
      <c r="X48" s="11" t="e">
        <f aca="false">VLOOKUP(V48,'DATABASE RO'!$C$3:$M$185,3,0)</f>
        <v>#N/A</v>
      </c>
      <c r="Y48" s="11" t="e">
        <f aca="false">VLOOKUP(V48,'DATABASE RO'!$C$3:$M$185,4,0)</f>
        <v>#N/A</v>
      </c>
      <c r="Z48" s="11" t="e">
        <f aca="false">VLOOKUP(V48,'DATABASE RO'!$C$3:$M$185,5,0)</f>
        <v>#N/A</v>
      </c>
      <c r="AA48" s="11" t="e">
        <f aca="false">VLOOKUP(V48,'DATABASE RO'!$C$3:$M$185,6,0)</f>
        <v>#N/A</v>
      </c>
      <c r="AB48" s="11" t="e">
        <f aca="false">VLOOKUP(V48,'DATABASE RO'!$C$3:$M$185,7,0)</f>
        <v>#N/A</v>
      </c>
      <c r="AC48" s="11" t="e">
        <f aca="false">VLOOKUP(V48,'DATABASE RO'!$C$3:$M$185,8,0)</f>
        <v>#N/A</v>
      </c>
      <c r="AD48" s="11" t="e">
        <f aca="false">VLOOKUP(V48,'DATABASE RO'!$C$3:$M$185,9,0)</f>
        <v>#N/A</v>
      </c>
      <c r="AE48" s="11"/>
      <c r="AF48" s="11" t="e">
        <f aca="false">VLOOKUP(V48,'DATABASE RO'!$C$3:$M$185,11,0)</f>
        <v>#N/A</v>
      </c>
      <c r="AG48" s="11"/>
      <c r="AJ48" s="9" t="s">
        <v>1</v>
      </c>
      <c r="AK48" s="10" t="str">
        <f aca="false">B48</f>
        <v>P2</v>
      </c>
      <c r="AL48" s="10" t="str">
        <f aca="false">C48</f>
        <v>KENDAL</v>
      </c>
      <c r="AM48" s="10" t="str">
        <f aca="false">D48</f>
        <v>1063120250805199</v>
      </c>
      <c r="AN48" s="10" t="str">
        <f aca="false">E48</f>
        <v>Carkubi</v>
      </c>
      <c r="AO48" s="10" t="str">
        <f aca="false">F48</f>
        <v>Konsumen Aktif M 0 - 6 Lunas</v>
      </c>
      <c r="AP48" s="11" t="e">
        <f aca="false">IFERROR(G48,X48)</f>
        <v>#N/A</v>
      </c>
      <c r="AQ48" s="11" t="e">
        <f aca="false">IFERROR(H48,Y48)</f>
        <v>#N/A</v>
      </c>
      <c r="AR48" s="11" t="e">
        <f aca="false">IFERROR(I48,Z48)</f>
        <v>#N/A</v>
      </c>
      <c r="AS48" s="11" t="e">
        <f aca="false">IFERROR(J48,AA48)</f>
        <v>#N/A</v>
      </c>
      <c r="AT48" s="11" t="e">
        <f aca="false">IFERROR(K48,AB48)</f>
        <v>#N/A</v>
      </c>
      <c r="AU48" s="11" t="e">
        <f aca="false">IFERROR(L48,AC48)</f>
        <v>#N/A</v>
      </c>
      <c r="AV48" s="11" t="e">
        <f aca="false">IFERROR(M48,AD48)</f>
        <v>#N/A</v>
      </c>
      <c r="AW48" s="11" t="n">
        <f aca="false">IFERROR(N48,AE48)</f>
        <v>0</v>
      </c>
      <c r="AX48" s="11" t="e">
        <f aca="false">IFERROR(O48,AF48)</f>
        <v>#N/A</v>
      </c>
    </row>
    <row r="49" customFormat="false" ht="15.75" hidden="false" customHeight="true" outlineLevel="0" collapsed="false">
      <c r="A49" s="10"/>
      <c r="B49" s="10" t="s">
        <v>18</v>
      </c>
      <c r="C49" s="10" t="s">
        <v>19</v>
      </c>
      <c r="D49" s="10" t="s">
        <v>107</v>
      </c>
      <c r="E49" s="10" t="s">
        <v>108</v>
      </c>
      <c r="F49" s="11" t="s">
        <v>22</v>
      </c>
      <c r="G49" s="11" t="str">
        <f aca="false">VLOOKUP(D49,'DATABASE RO'!$B$3:$M$299,4,0)</f>
        <v>CUS061120200805988            </v>
      </c>
      <c r="H49" s="11" t="str">
        <f aca="false">VLOOKUP(D49,'DATABASE RO'!$B$3:$M$299,5,0)</f>
        <v>YES</v>
      </c>
      <c r="I49" s="11" t="str">
        <f aca="false">VLOOKUP(D49,'DATABASE RO'!$B$3:$M$299,6,0)</f>
        <v>BK BABADAN RT 001 /RW 006, Kebonharjo, Patebon, KAB-Kendal, 51351</v>
      </c>
      <c r="J49" s="11" t="str">
        <f aca="false">VLOOKUP(D49,'DATABASE RO'!$B$3:$M$299,7,0)</f>
        <v>Kebonharjo</v>
      </c>
      <c r="K49" s="11" t="str">
        <f aca="false">VLOOKUP(D49,'DATABASE RO'!$B$3:$M$299,8,0)</f>
        <v>Patebon</v>
      </c>
      <c r="L49" s="11" t="str">
        <f aca="false">VLOOKUP(D49,'DATABASE RO'!$B$3:$M$299,9,0)</f>
        <v>https://www.google.com/maps/place/6%C2%B055'51.0%22S+110%C2%B009'24.0%22E/@-6.930839,110.1540861,17z/data=!3m1!4b1!4m4!3m3!8m2!3d-6.930839!4d110.156661?entry=ttu&amp;g_ep=EgoyMDI2MDcwNy4wIKXMDSoASAFQAw%3D%3D</v>
      </c>
      <c r="M49" s="11" t="str">
        <f aca="false">VLOOKUP(D49,'DATABASE RO'!$B$3:$M$299,10,0)</f>
        <v>NORMAL</v>
      </c>
      <c r="N49" s="11"/>
      <c r="O49" s="11" t="str">
        <f aca="false">VLOOKUP(D49,'DATABASE RO'!$B$3:$M$299,12,0)</f>
        <v>0831 - 57425895</v>
      </c>
      <c r="P49" s="11"/>
      <c r="S49" s="9" t="str">
        <f aca="false">B49</f>
        <v>P2</v>
      </c>
      <c r="T49" s="9" t="str">
        <f aca="false">C49</f>
        <v>KENDAL</v>
      </c>
      <c r="U49" s="9" t="str">
        <f aca="false">D49</f>
        <v>1063120250905206</v>
      </c>
      <c r="V49" s="9" t="str">
        <f aca="false">E49</f>
        <v>UMI ERNIATI</v>
      </c>
      <c r="W49" s="10"/>
      <c r="X49" s="11" t="str">
        <f aca="false">VLOOKUP(V49,'DATABASE RO'!$C$3:$M$185,3,0)</f>
        <v>CUS061120200805988            </v>
      </c>
      <c r="Y49" s="11" t="str">
        <f aca="false">VLOOKUP(V49,'DATABASE RO'!$C$3:$M$185,4,0)</f>
        <v>YES</v>
      </c>
      <c r="Z49" s="11" t="str">
        <f aca="false">VLOOKUP(V49,'DATABASE RO'!$C$3:$M$185,5,0)</f>
        <v>BK BABADAN RT 001 /RW 006, Kebonharjo, Patebon, KAB-Kendal, 51351</v>
      </c>
      <c r="AA49" s="11" t="str">
        <f aca="false">VLOOKUP(V49,'DATABASE RO'!$C$3:$M$185,6,0)</f>
        <v>Kebonharjo</v>
      </c>
      <c r="AB49" s="11" t="str">
        <f aca="false">VLOOKUP(V49,'DATABASE RO'!$C$3:$M$185,7,0)</f>
        <v>Patebon</v>
      </c>
      <c r="AC49" s="11" t="str">
        <f aca="false">VLOOKUP(V49,'DATABASE RO'!$C$3:$M$185,8,0)</f>
        <v>https://www.google.com/maps/place/6%C2%B055'51.0%22S+110%C2%B009'24.0%22E/@-6.930839,110.1540861,17z/data=!3m1!4b1!4m4!3m3!8m2!3d-6.930839!4d110.156661?entry=ttu&amp;g_ep=EgoyMDI2MDcwNy4wIKXMDSoASAFQAw%3D%3D</v>
      </c>
      <c r="AD49" s="11" t="str">
        <f aca="false">VLOOKUP(V49,'DATABASE RO'!$C$3:$M$185,9,0)</f>
        <v>NORMAL</v>
      </c>
      <c r="AE49" s="11"/>
      <c r="AF49" s="11" t="str">
        <f aca="false">VLOOKUP(V49,'DATABASE RO'!$C$3:$M$185,11,0)</f>
        <v>0831 - 57425895</v>
      </c>
      <c r="AG49" s="11"/>
      <c r="AJ49" s="10"/>
      <c r="AK49" s="10" t="str">
        <f aca="false">B49</f>
        <v>P2</v>
      </c>
      <c r="AL49" s="10" t="str">
        <f aca="false">C49</f>
        <v>KENDAL</v>
      </c>
      <c r="AM49" s="10" t="str">
        <f aca="false">D49</f>
        <v>1063120250905206</v>
      </c>
      <c r="AN49" s="10" t="str">
        <f aca="false">E49</f>
        <v>UMI ERNIATI</v>
      </c>
      <c r="AO49" s="10" t="str">
        <f aca="false">F49</f>
        <v>Konsumen Aktif M 0 - 6 Lunas</v>
      </c>
      <c r="AP49" s="11" t="str">
        <f aca="false">IFERROR(G49,X49)</f>
        <v>CUS061120200805988            </v>
      </c>
      <c r="AQ49" s="11" t="str">
        <f aca="false">IFERROR(H49,Y49)</f>
        <v>YES</v>
      </c>
      <c r="AR49" s="11" t="str">
        <f aca="false">IFERROR(I49,Z49)</f>
        <v>BK BABADAN RT 001 /RW 006, Kebonharjo, Patebon, KAB-Kendal, 51351</v>
      </c>
      <c r="AS49" s="11" t="str">
        <f aca="false">IFERROR(J49,AA49)</f>
        <v>Kebonharjo</v>
      </c>
      <c r="AT49" s="11" t="str">
        <f aca="false">IFERROR(K49,AB49)</f>
        <v>Patebon</v>
      </c>
      <c r="AU49" s="11" t="str">
        <f aca="false">IFERROR(L49,AC49)</f>
        <v>https://www.google.com/maps/place/6%C2%B055'51.0%22S+110%C2%B009'24.0%22E/@-6.930839,110.1540861,17z/data=!3m1!4b1!4m4!3m3!8m2!3d-6.930839!4d110.156661?entry=ttu&amp;g_ep=EgoyMDI2MDcwNy4wIKXMDSoASAFQAw%3D%3D</v>
      </c>
      <c r="AV49" s="11" t="str">
        <f aca="false">IFERROR(M49,AD49)</f>
        <v>NORMAL</v>
      </c>
      <c r="AW49" s="11" t="n">
        <f aca="false">IFERROR(N49,AE49)</f>
        <v>0</v>
      </c>
      <c r="AX49" s="11" t="str">
        <f aca="false">IFERROR(O49,AF49)</f>
        <v>0831 - 57425895</v>
      </c>
    </row>
    <row r="50" customFormat="false" ht="15.75" hidden="false" customHeight="true" outlineLevel="0" collapsed="false">
      <c r="A50" s="9" t="s">
        <v>1</v>
      </c>
      <c r="B50" s="10" t="s">
        <v>18</v>
      </c>
      <c r="C50" s="10" t="s">
        <v>19</v>
      </c>
      <c r="D50" s="10" t="s">
        <v>109</v>
      </c>
      <c r="E50" s="10" t="s">
        <v>110</v>
      </c>
      <c r="F50" s="11" t="s">
        <v>22</v>
      </c>
      <c r="G50" s="11" t="e">
        <f aca="false">VLOOKUP(D50,'DATABASE RO'!$B$3:$M$299,4,0)</f>
        <v>#N/A</v>
      </c>
      <c r="H50" s="11" t="e">
        <f aca="false">VLOOKUP(D50,'DATABASE RO'!$B$3:$M$299,5,0)</f>
        <v>#N/A</v>
      </c>
      <c r="I50" s="11" t="e">
        <f aca="false">VLOOKUP(D50,'DATABASE RO'!$B$3:$M$299,6,0)</f>
        <v>#N/A</v>
      </c>
      <c r="J50" s="11" t="e">
        <f aca="false">VLOOKUP(D50,'DATABASE RO'!$B$3:$M$299,7,0)</f>
        <v>#N/A</v>
      </c>
      <c r="K50" s="11" t="e">
        <f aca="false">VLOOKUP(D50,'DATABASE RO'!$B$3:$M$299,8,0)</f>
        <v>#N/A</v>
      </c>
      <c r="L50" s="11" t="e">
        <f aca="false">VLOOKUP(D50,'DATABASE RO'!$B$3:$M$299,9,0)</f>
        <v>#N/A</v>
      </c>
      <c r="M50" s="11" t="e">
        <f aca="false">VLOOKUP(D50,'DATABASE RO'!$B$3:$M$299,10,0)</f>
        <v>#N/A</v>
      </c>
      <c r="N50" s="11"/>
      <c r="O50" s="11" t="e">
        <f aca="false">VLOOKUP(D50,'DATABASE RO'!$B$3:$M$299,12,0)</f>
        <v>#N/A</v>
      </c>
      <c r="P50" s="11"/>
      <c r="S50" s="9" t="str">
        <f aca="false">B50</f>
        <v>P2</v>
      </c>
      <c r="T50" s="9" t="str">
        <f aca="false">C50</f>
        <v>KENDAL</v>
      </c>
      <c r="U50" s="9" t="str">
        <f aca="false">D50</f>
        <v>1063120250905217</v>
      </c>
      <c r="V50" s="9" t="str">
        <f aca="false">E50</f>
        <v>AMRIZAL SATYA PRASADHA</v>
      </c>
      <c r="W50" s="10"/>
      <c r="X50" s="11" t="e">
        <f aca="false">VLOOKUP(V50,'DATABASE RO'!$C$3:$M$185,3,0)</f>
        <v>#N/A</v>
      </c>
      <c r="Y50" s="11" t="e">
        <f aca="false">VLOOKUP(V50,'DATABASE RO'!$C$3:$M$185,4,0)</f>
        <v>#N/A</v>
      </c>
      <c r="Z50" s="11" t="e">
        <f aca="false">VLOOKUP(V50,'DATABASE RO'!$C$3:$M$185,5,0)</f>
        <v>#N/A</v>
      </c>
      <c r="AA50" s="11" t="e">
        <f aca="false">VLOOKUP(V50,'DATABASE RO'!$C$3:$M$185,6,0)</f>
        <v>#N/A</v>
      </c>
      <c r="AB50" s="11" t="e">
        <f aca="false">VLOOKUP(V50,'DATABASE RO'!$C$3:$M$185,7,0)</f>
        <v>#N/A</v>
      </c>
      <c r="AC50" s="11" t="e">
        <f aca="false">VLOOKUP(V50,'DATABASE RO'!$C$3:$M$185,8,0)</f>
        <v>#N/A</v>
      </c>
      <c r="AD50" s="11" t="e">
        <f aca="false">VLOOKUP(V50,'DATABASE RO'!$C$3:$M$185,9,0)</f>
        <v>#N/A</v>
      </c>
      <c r="AE50" s="11"/>
      <c r="AF50" s="11" t="e">
        <f aca="false">VLOOKUP(V50,'DATABASE RO'!$C$3:$M$185,11,0)</f>
        <v>#N/A</v>
      </c>
      <c r="AG50" s="11"/>
      <c r="AJ50" s="9" t="s">
        <v>1</v>
      </c>
      <c r="AK50" s="10" t="str">
        <f aca="false">B50</f>
        <v>P2</v>
      </c>
      <c r="AL50" s="10" t="str">
        <f aca="false">C50</f>
        <v>KENDAL</v>
      </c>
      <c r="AM50" s="10" t="str">
        <f aca="false">D50</f>
        <v>1063120250905217</v>
      </c>
      <c r="AN50" s="10" t="str">
        <f aca="false">E50</f>
        <v>AMRIZAL SATYA PRASADHA</v>
      </c>
      <c r="AO50" s="10" t="str">
        <f aca="false">F50</f>
        <v>Konsumen Aktif M 0 - 6 Lunas</v>
      </c>
      <c r="AP50" s="11" t="e">
        <f aca="false">IFERROR(G50,X50)</f>
        <v>#N/A</v>
      </c>
      <c r="AQ50" s="11" t="e">
        <f aca="false">IFERROR(H50,Y50)</f>
        <v>#N/A</v>
      </c>
      <c r="AR50" s="11" t="e">
        <f aca="false">IFERROR(I50,Z50)</f>
        <v>#N/A</v>
      </c>
      <c r="AS50" s="11" t="e">
        <f aca="false">IFERROR(J50,AA50)</f>
        <v>#N/A</v>
      </c>
      <c r="AT50" s="11" t="e">
        <f aca="false">IFERROR(K50,AB50)</f>
        <v>#N/A</v>
      </c>
      <c r="AU50" s="11" t="e">
        <f aca="false">IFERROR(L50,AC50)</f>
        <v>#N/A</v>
      </c>
      <c r="AV50" s="11" t="e">
        <f aca="false">IFERROR(M50,AD50)</f>
        <v>#N/A</v>
      </c>
      <c r="AW50" s="11" t="n">
        <f aca="false">IFERROR(N50,AE50)</f>
        <v>0</v>
      </c>
      <c r="AX50" s="11" t="e">
        <f aca="false">IFERROR(O50,AF50)</f>
        <v>#N/A</v>
      </c>
    </row>
    <row r="51" customFormat="false" ht="15.75" hidden="false" customHeight="true" outlineLevel="0" collapsed="false">
      <c r="A51" s="9" t="s">
        <v>1</v>
      </c>
      <c r="B51" s="10" t="s">
        <v>18</v>
      </c>
      <c r="C51" s="10" t="s">
        <v>19</v>
      </c>
      <c r="D51" s="10" t="s">
        <v>111</v>
      </c>
      <c r="E51" s="10" t="s">
        <v>112</v>
      </c>
      <c r="F51" s="11" t="s">
        <v>22</v>
      </c>
      <c r="G51" s="11" t="e">
        <f aca="false">VLOOKUP(D51,'DATABASE RO'!$B$3:$M$299,4,0)</f>
        <v>#N/A</v>
      </c>
      <c r="H51" s="11" t="e">
        <f aca="false">VLOOKUP(D51,'DATABASE RO'!$B$3:$M$299,5,0)</f>
        <v>#N/A</v>
      </c>
      <c r="I51" s="11" t="e">
        <f aca="false">VLOOKUP(D51,'DATABASE RO'!$B$3:$M$299,6,0)</f>
        <v>#N/A</v>
      </c>
      <c r="J51" s="11" t="e">
        <f aca="false">VLOOKUP(D51,'DATABASE RO'!$B$3:$M$299,7,0)</f>
        <v>#N/A</v>
      </c>
      <c r="K51" s="11" t="e">
        <f aca="false">VLOOKUP(D51,'DATABASE RO'!$B$3:$M$299,8,0)</f>
        <v>#N/A</v>
      </c>
      <c r="L51" s="11" t="e">
        <f aca="false">VLOOKUP(D51,'DATABASE RO'!$B$3:$M$299,9,0)</f>
        <v>#N/A</v>
      </c>
      <c r="M51" s="11" t="e">
        <f aca="false">VLOOKUP(D51,'DATABASE RO'!$B$3:$M$299,10,0)</f>
        <v>#N/A</v>
      </c>
      <c r="N51" s="11"/>
      <c r="O51" s="11" t="e">
        <f aca="false">VLOOKUP(D51,'DATABASE RO'!$B$3:$M$299,12,0)</f>
        <v>#N/A</v>
      </c>
      <c r="P51" s="11"/>
      <c r="S51" s="9" t="str">
        <f aca="false">B51</f>
        <v>P2</v>
      </c>
      <c r="T51" s="9" t="str">
        <f aca="false">C51</f>
        <v>KENDAL</v>
      </c>
      <c r="U51" s="9" t="str">
        <f aca="false">D51</f>
        <v>1063120250905222</v>
      </c>
      <c r="V51" s="9" t="str">
        <f aca="false">E51</f>
        <v>AHMAD SHONHAJI</v>
      </c>
      <c r="W51" s="10"/>
      <c r="X51" s="11" t="e">
        <f aca="false">VLOOKUP(V51,'DATABASE RO'!$C$3:$M$185,3,0)</f>
        <v>#N/A</v>
      </c>
      <c r="Y51" s="11" t="e">
        <f aca="false">VLOOKUP(V51,'DATABASE RO'!$C$3:$M$185,4,0)</f>
        <v>#N/A</v>
      </c>
      <c r="Z51" s="11" t="e">
        <f aca="false">VLOOKUP(V51,'DATABASE RO'!$C$3:$M$185,5,0)</f>
        <v>#N/A</v>
      </c>
      <c r="AA51" s="11" t="e">
        <f aca="false">VLOOKUP(V51,'DATABASE RO'!$C$3:$M$185,6,0)</f>
        <v>#N/A</v>
      </c>
      <c r="AB51" s="11" t="e">
        <f aca="false">VLOOKUP(V51,'DATABASE RO'!$C$3:$M$185,7,0)</f>
        <v>#N/A</v>
      </c>
      <c r="AC51" s="11" t="e">
        <f aca="false">VLOOKUP(V51,'DATABASE RO'!$C$3:$M$185,8,0)</f>
        <v>#N/A</v>
      </c>
      <c r="AD51" s="11" t="e">
        <f aca="false">VLOOKUP(V51,'DATABASE RO'!$C$3:$M$185,9,0)</f>
        <v>#N/A</v>
      </c>
      <c r="AE51" s="11"/>
      <c r="AF51" s="11" t="e">
        <f aca="false">VLOOKUP(V51,'DATABASE RO'!$C$3:$M$185,11,0)</f>
        <v>#N/A</v>
      </c>
      <c r="AG51" s="11"/>
      <c r="AJ51" s="9" t="s">
        <v>1</v>
      </c>
      <c r="AK51" s="10" t="str">
        <f aca="false">B51</f>
        <v>P2</v>
      </c>
      <c r="AL51" s="10" t="str">
        <f aca="false">C51</f>
        <v>KENDAL</v>
      </c>
      <c r="AM51" s="10" t="str">
        <f aca="false">D51</f>
        <v>1063120250905222</v>
      </c>
      <c r="AN51" s="10" t="str">
        <f aca="false">E51</f>
        <v>AHMAD SHONHAJI</v>
      </c>
      <c r="AO51" s="10" t="str">
        <f aca="false">F51</f>
        <v>Konsumen Aktif M 0 - 6 Lunas</v>
      </c>
      <c r="AP51" s="11" t="e">
        <f aca="false">IFERROR(G51,X51)</f>
        <v>#N/A</v>
      </c>
      <c r="AQ51" s="11" t="e">
        <f aca="false">IFERROR(H51,Y51)</f>
        <v>#N/A</v>
      </c>
      <c r="AR51" s="11" t="e">
        <f aca="false">IFERROR(I51,Z51)</f>
        <v>#N/A</v>
      </c>
      <c r="AS51" s="11" t="e">
        <f aca="false">IFERROR(J51,AA51)</f>
        <v>#N/A</v>
      </c>
      <c r="AT51" s="11" t="e">
        <f aca="false">IFERROR(K51,AB51)</f>
        <v>#N/A</v>
      </c>
      <c r="AU51" s="11" t="e">
        <f aca="false">IFERROR(L51,AC51)</f>
        <v>#N/A</v>
      </c>
      <c r="AV51" s="11" t="e">
        <f aca="false">IFERROR(M51,AD51)</f>
        <v>#N/A</v>
      </c>
      <c r="AW51" s="11" t="n">
        <f aca="false">IFERROR(N51,AE51)</f>
        <v>0</v>
      </c>
      <c r="AX51" s="11" t="e">
        <f aca="false">IFERROR(O51,AF51)</f>
        <v>#N/A</v>
      </c>
    </row>
    <row r="52" customFormat="false" ht="15.75" hidden="false" customHeight="true" outlineLevel="0" collapsed="false">
      <c r="A52" s="9" t="s">
        <v>1</v>
      </c>
      <c r="B52" s="10" t="s">
        <v>18</v>
      </c>
      <c r="C52" s="10" t="s">
        <v>19</v>
      </c>
      <c r="D52" s="10" t="s">
        <v>113</v>
      </c>
      <c r="E52" s="10" t="s">
        <v>114</v>
      </c>
      <c r="F52" s="11" t="s">
        <v>22</v>
      </c>
      <c r="G52" s="11" t="e">
        <f aca="false">VLOOKUP(D52,'DATABASE RO'!$B$3:$M$299,4,0)</f>
        <v>#N/A</v>
      </c>
      <c r="H52" s="11" t="e">
        <f aca="false">VLOOKUP(D52,'DATABASE RO'!$B$3:$M$299,5,0)</f>
        <v>#N/A</v>
      </c>
      <c r="I52" s="11" t="e">
        <f aca="false">VLOOKUP(D52,'DATABASE RO'!$B$3:$M$299,6,0)</f>
        <v>#N/A</v>
      </c>
      <c r="J52" s="11" t="e">
        <f aca="false">VLOOKUP(D52,'DATABASE RO'!$B$3:$M$299,7,0)</f>
        <v>#N/A</v>
      </c>
      <c r="K52" s="11" t="e">
        <f aca="false">VLOOKUP(D52,'DATABASE RO'!$B$3:$M$299,8,0)</f>
        <v>#N/A</v>
      </c>
      <c r="L52" s="11" t="e">
        <f aca="false">VLOOKUP(D52,'DATABASE RO'!$B$3:$M$299,9,0)</f>
        <v>#N/A</v>
      </c>
      <c r="M52" s="11" t="e">
        <f aca="false">VLOOKUP(D52,'DATABASE RO'!$B$3:$M$299,10,0)</f>
        <v>#N/A</v>
      </c>
      <c r="N52" s="11"/>
      <c r="O52" s="11" t="e">
        <f aca="false">VLOOKUP(D52,'DATABASE RO'!$B$3:$M$299,12,0)</f>
        <v>#N/A</v>
      </c>
      <c r="P52" s="11"/>
      <c r="S52" s="9" t="str">
        <f aca="false">B52</f>
        <v>P2</v>
      </c>
      <c r="T52" s="9" t="str">
        <f aca="false">C52</f>
        <v>KENDAL</v>
      </c>
      <c r="U52" s="9" t="str">
        <f aca="false">D52</f>
        <v>1063120250905224</v>
      </c>
      <c r="V52" s="9" t="str">
        <f aca="false">E52</f>
        <v>KAMSIN</v>
      </c>
      <c r="W52" s="10"/>
      <c r="X52" s="11" t="e">
        <f aca="false">VLOOKUP(V52,'DATABASE RO'!$C$3:$M$185,3,0)</f>
        <v>#N/A</v>
      </c>
      <c r="Y52" s="11" t="e">
        <f aca="false">VLOOKUP(V52,'DATABASE RO'!$C$3:$M$185,4,0)</f>
        <v>#N/A</v>
      </c>
      <c r="Z52" s="11" t="e">
        <f aca="false">VLOOKUP(V52,'DATABASE RO'!$C$3:$M$185,5,0)</f>
        <v>#N/A</v>
      </c>
      <c r="AA52" s="11" t="e">
        <f aca="false">VLOOKUP(V52,'DATABASE RO'!$C$3:$M$185,6,0)</f>
        <v>#N/A</v>
      </c>
      <c r="AB52" s="11" t="e">
        <f aca="false">VLOOKUP(V52,'DATABASE RO'!$C$3:$M$185,7,0)</f>
        <v>#N/A</v>
      </c>
      <c r="AC52" s="11" t="e">
        <f aca="false">VLOOKUP(V52,'DATABASE RO'!$C$3:$M$185,8,0)</f>
        <v>#N/A</v>
      </c>
      <c r="AD52" s="11" t="e">
        <f aca="false">VLOOKUP(V52,'DATABASE RO'!$C$3:$M$185,9,0)</f>
        <v>#N/A</v>
      </c>
      <c r="AE52" s="11"/>
      <c r="AF52" s="11" t="e">
        <f aca="false">VLOOKUP(V52,'DATABASE RO'!$C$3:$M$185,11,0)</f>
        <v>#N/A</v>
      </c>
      <c r="AG52" s="11"/>
      <c r="AJ52" s="9" t="s">
        <v>1</v>
      </c>
      <c r="AK52" s="10" t="str">
        <f aca="false">B52</f>
        <v>P2</v>
      </c>
      <c r="AL52" s="10" t="str">
        <f aca="false">C52</f>
        <v>KENDAL</v>
      </c>
      <c r="AM52" s="10" t="str">
        <f aca="false">D52</f>
        <v>1063120250905224</v>
      </c>
      <c r="AN52" s="10" t="str">
        <f aca="false">E52</f>
        <v>KAMSIN</v>
      </c>
      <c r="AO52" s="10" t="str">
        <f aca="false">F52</f>
        <v>Konsumen Aktif M 0 - 6 Lunas</v>
      </c>
      <c r="AP52" s="11" t="e">
        <f aca="false">IFERROR(G52,X52)</f>
        <v>#N/A</v>
      </c>
      <c r="AQ52" s="11" t="e">
        <f aca="false">IFERROR(H52,Y52)</f>
        <v>#N/A</v>
      </c>
      <c r="AR52" s="11" t="e">
        <f aca="false">IFERROR(I52,Z52)</f>
        <v>#N/A</v>
      </c>
      <c r="AS52" s="11" t="e">
        <f aca="false">IFERROR(J52,AA52)</f>
        <v>#N/A</v>
      </c>
      <c r="AT52" s="11" t="e">
        <f aca="false">IFERROR(K52,AB52)</f>
        <v>#N/A</v>
      </c>
      <c r="AU52" s="11" t="e">
        <f aca="false">IFERROR(L52,AC52)</f>
        <v>#N/A</v>
      </c>
      <c r="AV52" s="11" t="e">
        <f aca="false">IFERROR(M52,AD52)</f>
        <v>#N/A</v>
      </c>
      <c r="AW52" s="11" t="n">
        <f aca="false">IFERROR(N52,AE52)</f>
        <v>0</v>
      </c>
      <c r="AX52" s="11" t="e">
        <f aca="false">IFERROR(O52,AF52)</f>
        <v>#N/A</v>
      </c>
    </row>
    <row r="53" customFormat="false" ht="15.75" hidden="false" customHeight="true" outlineLevel="0" collapsed="false">
      <c r="A53" s="9" t="s">
        <v>1</v>
      </c>
      <c r="B53" s="10" t="s">
        <v>18</v>
      </c>
      <c r="C53" s="10" t="s">
        <v>19</v>
      </c>
      <c r="D53" s="10" t="s">
        <v>115</v>
      </c>
      <c r="E53" s="10" t="s">
        <v>116</v>
      </c>
      <c r="F53" s="11" t="s">
        <v>22</v>
      </c>
      <c r="G53" s="11" t="e">
        <f aca="false">VLOOKUP(D53,'DATABASE RO'!$B$3:$M$299,4,0)</f>
        <v>#N/A</v>
      </c>
      <c r="H53" s="11" t="e">
        <f aca="false">VLOOKUP(D53,'DATABASE RO'!$B$3:$M$299,5,0)</f>
        <v>#N/A</v>
      </c>
      <c r="I53" s="11" t="e">
        <f aca="false">VLOOKUP(D53,'DATABASE RO'!$B$3:$M$299,6,0)</f>
        <v>#N/A</v>
      </c>
      <c r="J53" s="11" t="e">
        <f aca="false">VLOOKUP(D53,'DATABASE RO'!$B$3:$M$299,7,0)</f>
        <v>#N/A</v>
      </c>
      <c r="K53" s="11" t="e">
        <f aca="false">VLOOKUP(D53,'DATABASE RO'!$B$3:$M$299,8,0)</f>
        <v>#N/A</v>
      </c>
      <c r="L53" s="11" t="e">
        <f aca="false">VLOOKUP(D53,'DATABASE RO'!$B$3:$M$299,9,0)</f>
        <v>#N/A</v>
      </c>
      <c r="M53" s="11" t="e">
        <f aca="false">VLOOKUP(D53,'DATABASE RO'!$B$3:$M$299,10,0)</f>
        <v>#N/A</v>
      </c>
      <c r="N53" s="11"/>
      <c r="O53" s="11" t="e">
        <f aca="false">VLOOKUP(D53,'DATABASE RO'!$B$3:$M$299,12,0)</f>
        <v>#N/A</v>
      </c>
      <c r="P53" s="11"/>
      <c r="S53" s="9" t="str">
        <f aca="false">B53</f>
        <v>P2</v>
      </c>
      <c r="T53" s="9" t="str">
        <f aca="false">C53</f>
        <v>KENDAL</v>
      </c>
      <c r="U53" s="9" t="str">
        <f aca="false">D53</f>
        <v>1063120250905227</v>
      </c>
      <c r="V53" s="9" t="str">
        <f aca="false">E53</f>
        <v>YAYUK INDRIAWATI</v>
      </c>
      <c r="W53" s="10"/>
      <c r="X53" s="11" t="e">
        <f aca="false">VLOOKUP(V53,'DATABASE RO'!$C$3:$M$185,3,0)</f>
        <v>#N/A</v>
      </c>
      <c r="Y53" s="11" t="e">
        <f aca="false">VLOOKUP(V53,'DATABASE RO'!$C$3:$M$185,4,0)</f>
        <v>#N/A</v>
      </c>
      <c r="Z53" s="11" t="e">
        <f aca="false">VLOOKUP(V53,'DATABASE RO'!$C$3:$M$185,5,0)</f>
        <v>#N/A</v>
      </c>
      <c r="AA53" s="11" t="e">
        <f aca="false">VLOOKUP(V53,'DATABASE RO'!$C$3:$M$185,6,0)</f>
        <v>#N/A</v>
      </c>
      <c r="AB53" s="11" t="e">
        <f aca="false">VLOOKUP(V53,'DATABASE RO'!$C$3:$M$185,7,0)</f>
        <v>#N/A</v>
      </c>
      <c r="AC53" s="11" t="e">
        <f aca="false">VLOOKUP(V53,'DATABASE RO'!$C$3:$M$185,8,0)</f>
        <v>#N/A</v>
      </c>
      <c r="AD53" s="11" t="e">
        <f aca="false">VLOOKUP(V53,'DATABASE RO'!$C$3:$M$185,9,0)</f>
        <v>#N/A</v>
      </c>
      <c r="AE53" s="11"/>
      <c r="AF53" s="11" t="e">
        <f aca="false">VLOOKUP(V53,'DATABASE RO'!$C$3:$M$185,11,0)</f>
        <v>#N/A</v>
      </c>
      <c r="AG53" s="11"/>
      <c r="AJ53" s="9" t="s">
        <v>1</v>
      </c>
      <c r="AK53" s="10" t="str">
        <f aca="false">B53</f>
        <v>P2</v>
      </c>
      <c r="AL53" s="10" t="str">
        <f aca="false">C53</f>
        <v>KENDAL</v>
      </c>
      <c r="AM53" s="10" t="str">
        <f aca="false">D53</f>
        <v>1063120250905227</v>
      </c>
      <c r="AN53" s="10" t="str">
        <f aca="false">E53</f>
        <v>YAYUK INDRIAWATI</v>
      </c>
      <c r="AO53" s="10" t="str">
        <f aca="false">F53</f>
        <v>Konsumen Aktif M 0 - 6 Lunas</v>
      </c>
      <c r="AP53" s="11" t="e">
        <f aca="false">IFERROR(G53,X53)</f>
        <v>#N/A</v>
      </c>
      <c r="AQ53" s="11" t="e">
        <f aca="false">IFERROR(H53,Y53)</f>
        <v>#N/A</v>
      </c>
      <c r="AR53" s="11" t="e">
        <f aca="false">IFERROR(I53,Z53)</f>
        <v>#N/A</v>
      </c>
      <c r="AS53" s="11" t="e">
        <f aca="false">IFERROR(J53,AA53)</f>
        <v>#N/A</v>
      </c>
      <c r="AT53" s="11" t="e">
        <f aca="false">IFERROR(K53,AB53)</f>
        <v>#N/A</v>
      </c>
      <c r="AU53" s="11" t="e">
        <f aca="false">IFERROR(L53,AC53)</f>
        <v>#N/A</v>
      </c>
      <c r="AV53" s="11" t="e">
        <f aca="false">IFERROR(M53,AD53)</f>
        <v>#N/A</v>
      </c>
      <c r="AW53" s="11" t="n">
        <f aca="false">IFERROR(N53,AE53)</f>
        <v>0</v>
      </c>
      <c r="AX53" s="11" t="e">
        <f aca="false">IFERROR(O53,AF53)</f>
        <v>#N/A</v>
      </c>
    </row>
    <row r="54" customFormat="false" ht="15.75" hidden="false" customHeight="true" outlineLevel="0" collapsed="false">
      <c r="A54" s="10"/>
      <c r="B54" s="10" t="s">
        <v>18</v>
      </c>
      <c r="C54" s="10" t="s">
        <v>19</v>
      </c>
      <c r="D54" s="10" t="s">
        <v>117</v>
      </c>
      <c r="E54" s="10" t="s">
        <v>118</v>
      </c>
      <c r="F54" s="11" t="s">
        <v>22</v>
      </c>
      <c r="G54" s="11" t="str">
        <f aca="false">VLOOKUP(D54,'DATABASE RO'!$B$3:$M$299,4,0)</f>
        <v>CUS063120251008990            </v>
      </c>
      <c r="H54" s="11" t="str">
        <f aca="false">VLOOKUP(D54,'DATABASE RO'!$B$3:$M$299,5,0)</f>
        <v>YES</v>
      </c>
      <c r="I54" s="11" t="str">
        <f aca="false">VLOOKUP(D54,'DATABASE RO'!$B$3:$M$299,6,0)</f>
        <v>PLELEN LOR RT 001 /RW 003, Plelen, Gringsing, KAB-Batang, 51281</v>
      </c>
      <c r="J54" s="11" t="str">
        <f aca="false">VLOOKUP(D54,'DATABASE RO'!$B$3:$M$299,7,0)</f>
        <v>Plelen</v>
      </c>
      <c r="K54" s="11" t="str">
        <f aca="false">VLOOKUP(D54,'DATABASE RO'!$B$3:$M$299,8,0)</f>
        <v>Gringsing</v>
      </c>
      <c r="L54" s="11" t="str">
        <f aca="false">VLOOKUP(D54,'DATABASE RO'!$B$3:$M$299,9,0)</f>
        <v>https://www.google.com/maps?z=12&amp;t=m&amp;q=loc:-6.967080+110.013456</v>
      </c>
      <c r="M54" s="11" t="str">
        <f aca="false">VLOOKUP(D54,'DATABASE RO'!$B$3:$M$299,10,0)</f>
        <v>NORMAL</v>
      </c>
      <c r="N54" s="11"/>
      <c r="O54" s="11" t="str">
        <f aca="false">VLOOKUP(D54,'DATABASE RO'!$B$3:$M$299,12,0)</f>
        <v>0823 - 26605727</v>
      </c>
      <c r="P54" s="11"/>
      <c r="S54" s="9" t="str">
        <f aca="false">B54</f>
        <v>P2</v>
      </c>
      <c r="T54" s="9" t="str">
        <f aca="false">C54</f>
        <v>KENDAL</v>
      </c>
      <c r="U54" s="9" t="str">
        <f aca="false">D54</f>
        <v>1063120251005245</v>
      </c>
      <c r="V54" s="9" t="str">
        <f aca="false">E54</f>
        <v>SOKHIFUL ANAM</v>
      </c>
      <c r="W54" s="10"/>
      <c r="X54" s="11" t="str">
        <f aca="false">VLOOKUP(V54,'DATABASE RO'!$C$3:$M$185,3,0)</f>
        <v>CUS063120251008990            </v>
      </c>
      <c r="Y54" s="11" t="str">
        <f aca="false">VLOOKUP(V54,'DATABASE RO'!$C$3:$M$185,4,0)</f>
        <v>YES</v>
      </c>
      <c r="Z54" s="11" t="str">
        <f aca="false">VLOOKUP(V54,'DATABASE RO'!$C$3:$M$185,5,0)</f>
        <v>PLELEN LOR RT 001 /RW 003, Plelen, Gringsing, KAB-Batang, 51281</v>
      </c>
      <c r="AA54" s="11" t="str">
        <f aca="false">VLOOKUP(V54,'DATABASE RO'!$C$3:$M$185,6,0)</f>
        <v>Plelen</v>
      </c>
      <c r="AB54" s="11" t="str">
        <f aca="false">VLOOKUP(V54,'DATABASE RO'!$C$3:$M$185,7,0)</f>
        <v>Gringsing</v>
      </c>
      <c r="AC54" s="11" t="str">
        <f aca="false">VLOOKUP(V54,'DATABASE RO'!$C$3:$M$185,8,0)</f>
        <v>https://www.google.com/maps?z=12&amp;t=m&amp;q=loc:-6.967080+110.013456</v>
      </c>
      <c r="AD54" s="11" t="str">
        <f aca="false">VLOOKUP(V54,'DATABASE RO'!$C$3:$M$185,9,0)</f>
        <v>NORMAL</v>
      </c>
      <c r="AE54" s="11"/>
      <c r="AF54" s="11" t="str">
        <f aca="false">VLOOKUP(V54,'DATABASE RO'!$C$3:$M$185,11,0)</f>
        <v>0823 - 26605727</v>
      </c>
      <c r="AG54" s="11"/>
      <c r="AJ54" s="10"/>
      <c r="AK54" s="10" t="str">
        <f aca="false">B54</f>
        <v>P2</v>
      </c>
      <c r="AL54" s="10" t="str">
        <f aca="false">C54</f>
        <v>KENDAL</v>
      </c>
      <c r="AM54" s="10" t="str">
        <f aca="false">D54</f>
        <v>1063120251005245</v>
      </c>
      <c r="AN54" s="10" t="str">
        <f aca="false">E54</f>
        <v>SOKHIFUL ANAM</v>
      </c>
      <c r="AO54" s="10" t="str">
        <f aca="false">F54</f>
        <v>Konsumen Aktif M 0 - 6 Lunas</v>
      </c>
      <c r="AP54" s="11" t="str">
        <f aca="false">IFERROR(G54,X54)</f>
        <v>CUS063120251008990            </v>
      </c>
      <c r="AQ54" s="11" t="str">
        <f aca="false">IFERROR(H54,Y54)</f>
        <v>YES</v>
      </c>
      <c r="AR54" s="11" t="str">
        <f aca="false">IFERROR(I54,Z54)</f>
        <v>PLELEN LOR RT 001 /RW 003, Plelen, Gringsing, KAB-Batang, 51281</v>
      </c>
      <c r="AS54" s="11" t="str">
        <f aca="false">IFERROR(J54,AA54)</f>
        <v>Plelen</v>
      </c>
      <c r="AT54" s="11" t="str">
        <f aca="false">IFERROR(K54,AB54)</f>
        <v>Gringsing</v>
      </c>
      <c r="AU54" s="11" t="str">
        <f aca="false">IFERROR(L54,AC54)</f>
        <v>https://www.google.com/maps?z=12&amp;t=m&amp;q=loc:-6.967080+110.013456</v>
      </c>
      <c r="AV54" s="11" t="str">
        <f aca="false">IFERROR(M54,AD54)</f>
        <v>NORMAL</v>
      </c>
      <c r="AW54" s="11" t="n">
        <f aca="false">IFERROR(N54,AE54)</f>
        <v>0</v>
      </c>
      <c r="AX54" s="11" t="str">
        <f aca="false">IFERROR(O54,AF54)</f>
        <v>0823 - 26605727</v>
      </c>
    </row>
    <row r="55" customFormat="false" ht="15.75" hidden="false" customHeight="true" outlineLevel="0" collapsed="false">
      <c r="A55" s="10"/>
      <c r="B55" s="10" t="s">
        <v>18</v>
      </c>
      <c r="C55" s="10" t="s">
        <v>19</v>
      </c>
      <c r="D55" s="10" t="s">
        <v>119</v>
      </c>
      <c r="E55" s="10" t="s">
        <v>120</v>
      </c>
      <c r="F55" s="11" t="s">
        <v>22</v>
      </c>
      <c r="G55" s="11" t="str">
        <f aca="false">VLOOKUP(D55,'DATABASE RO'!$B$3:$M$299,4,0)</f>
        <v>CUS063120210304856            </v>
      </c>
      <c r="H55" s="11" t="str">
        <f aca="false">VLOOKUP(D55,'DATABASE RO'!$B$3:$M$299,5,0)</f>
        <v>YES</v>
      </c>
      <c r="I55" s="11" t="str">
        <f aca="false">VLOOKUP(D55,'DATABASE RO'!$B$3:$M$299,6,0)</f>
        <v> 	DK PATUREN RT 03 /RW 04, Pagersari, Patean, KAB-Kendal, 51364</v>
      </c>
      <c r="J55" s="11" t="str">
        <f aca="false">VLOOKUP(D55,'DATABASE RO'!$B$3:$M$299,7,0)</f>
        <v>Pagersari</v>
      </c>
      <c r="K55" s="11" t="str">
        <f aca="false">VLOOKUP(D55,'DATABASE RO'!$B$3:$M$299,8,0)</f>
        <v>Patean</v>
      </c>
      <c r="L55" s="11" t="str">
        <f aca="false">VLOOKUP(D55,'DATABASE RO'!$B$3:$M$299,9,0)</f>
        <v>7°06'34.9"S 110°04'50.7"E - Google Maps</v>
      </c>
      <c r="M55" s="11" t="str">
        <f aca="false">VLOOKUP(D55,'DATABASE RO'!$B$3:$M$299,10,0)</f>
        <v>NORMAL</v>
      </c>
      <c r="N55" s="11"/>
      <c r="O55" s="11" t="str">
        <f aca="false">VLOOKUP(D55,'DATABASE RO'!$B$3:$M$299,12,0)</f>
        <v>0838 - 37785369</v>
      </c>
      <c r="P55" s="11"/>
      <c r="S55" s="9" t="str">
        <f aca="false">B55</f>
        <v>P2</v>
      </c>
      <c r="T55" s="9" t="str">
        <f aca="false">C55</f>
        <v>KENDAL</v>
      </c>
      <c r="U55" s="9" t="str">
        <f aca="false">D55</f>
        <v>1063120251005273</v>
      </c>
      <c r="V55" s="9" t="str">
        <f aca="false">E55</f>
        <v>Haryanto</v>
      </c>
      <c r="W55" s="10"/>
      <c r="X55" s="11" t="str">
        <f aca="false">VLOOKUP(V55,'DATABASE RO'!$C$3:$M$185,3,0)</f>
        <v>CUS063120210304856            </v>
      </c>
      <c r="Y55" s="11" t="str">
        <f aca="false">VLOOKUP(V55,'DATABASE RO'!$C$3:$M$185,4,0)</f>
        <v>YES</v>
      </c>
      <c r="Z55" s="11" t="str">
        <f aca="false">VLOOKUP(V55,'DATABASE RO'!$C$3:$M$185,5,0)</f>
        <v> 	DK PATUREN RT 03 /RW 04, Pagersari, Patean, KAB-Kendal, 51364</v>
      </c>
      <c r="AA55" s="11" t="str">
        <f aca="false">VLOOKUP(V55,'DATABASE RO'!$C$3:$M$185,6,0)</f>
        <v>Pagersari</v>
      </c>
      <c r="AB55" s="11" t="str">
        <f aca="false">VLOOKUP(V55,'DATABASE RO'!$C$3:$M$185,7,0)</f>
        <v>Patean</v>
      </c>
      <c r="AC55" s="11" t="str">
        <f aca="false">VLOOKUP(V55,'DATABASE RO'!$C$3:$M$185,8,0)</f>
        <v>7°06'34.9"S 110°04'50.7"E - Google Maps</v>
      </c>
      <c r="AD55" s="11" t="str">
        <f aca="false">VLOOKUP(V55,'DATABASE RO'!$C$3:$M$185,9,0)</f>
        <v>NORMAL</v>
      </c>
      <c r="AE55" s="11"/>
      <c r="AF55" s="11" t="str">
        <f aca="false">VLOOKUP(V55,'DATABASE RO'!$C$3:$M$185,11,0)</f>
        <v>0838 - 37785369</v>
      </c>
      <c r="AG55" s="11"/>
      <c r="AJ55" s="10"/>
      <c r="AK55" s="10" t="str">
        <f aca="false">B55</f>
        <v>P2</v>
      </c>
      <c r="AL55" s="10" t="str">
        <f aca="false">C55</f>
        <v>KENDAL</v>
      </c>
      <c r="AM55" s="10" t="str">
        <f aca="false">D55</f>
        <v>1063120251005273</v>
      </c>
      <c r="AN55" s="10" t="str">
        <f aca="false">E55</f>
        <v>Haryanto</v>
      </c>
      <c r="AO55" s="10" t="str">
        <f aca="false">F55</f>
        <v>Konsumen Aktif M 0 - 6 Lunas</v>
      </c>
      <c r="AP55" s="11" t="str">
        <f aca="false">IFERROR(G55,X55)</f>
        <v>CUS063120210304856            </v>
      </c>
      <c r="AQ55" s="11" t="str">
        <f aca="false">IFERROR(H55,Y55)</f>
        <v>YES</v>
      </c>
      <c r="AR55" s="11" t="str">
        <f aca="false">IFERROR(I55,Z55)</f>
        <v> 	DK PATUREN RT 03 /RW 04, Pagersari, Patean, KAB-Kendal, 51364</v>
      </c>
      <c r="AS55" s="11" t="str">
        <f aca="false">IFERROR(J55,AA55)</f>
        <v>Pagersari</v>
      </c>
      <c r="AT55" s="11" t="str">
        <f aca="false">IFERROR(K55,AB55)</f>
        <v>Patean</v>
      </c>
      <c r="AU55" s="11" t="str">
        <f aca="false">IFERROR(L55,AC55)</f>
        <v>7°06'34.9"S 110°04'50.7"E - Google Maps</v>
      </c>
      <c r="AV55" s="11" t="str">
        <f aca="false">IFERROR(M55,AD55)</f>
        <v>NORMAL</v>
      </c>
      <c r="AW55" s="11" t="n">
        <f aca="false">IFERROR(N55,AE55)</f>
        <v>0</v>
      </c>
      <c r="AX55" s="11" t="str">
        <f aca="false">IFERROR(O55,AF55)</f>
        <v>0838 - 37785369</v>
      </c>
    </row>
    <row r="56" customFormat="false" ht="15.75" hidden="false" customHeight="true" outlineLevel="0" collapsed="false">
      <c r="A56" s="10"/>
      <c r="B56" s="10" t="s">
        <v>18</v>
      </c>
      <c r="C56" s="10" t="s">
        <v>19</v>
      </c>
      <c r="D56" s="10" t="s">
        <v>121</v>
      </c>
      <c r="E56" s="10" t="s">
        <v>122</v>
      </c>
      <c r="F56" s="11" t="s">
        <v>22</v>
      </c>
      <c r="G56" s="11" t="str">
        <f aca="false">VLOOKUP(D56,'DATABASE RO'!$B$3:$M$299,4,0)</f>
        <v>063A7501000862                </v>
      </c>
      <c r="H56" s="11" t="str">
        <f aca="false">VLOOKUP(D56,'DATABASE RO'!$B$3:$M$299,5,0)</f>
        <v>NO</v>
      </c>
      <c r="I56" s="11" t="str">
        <f aca="false">VLOOKUP(D56,'DATABASE RO'!$B$3:$M$299,6,0)</f>
        <v>KRAJAN TIMUR RT 002 /RW 006, Sambongsari, Weleri, KAB-Kendal, 51355</v>
      </c>
      <c r="J56" s="11" t="str">
        <f aca="false">VLOOKUP(D56,'DATABASE RO'!$B$3:$M$299,7,0)</f>
        <v>Sambongsari</v>
      </c>
      <c r="K56" s="11" t="str">
        <f aca="false">VLOOKUP(D56,'DATABASE RO'!$B$3:$M$299,8,0)</f>
        <v>Weleri</v>
      </c>
      <c r="L56" s="11" t="str">
        <f aca="false">VLOOKUP(D56,'DATABASE RO'!$B$3:$M$299,9,0)</f>
        <v>https://www.google.com/maps?z=12&amp;t=m&amp;q=loc:-6.972395+110.060835</v>
      </c>
      <c r="M56" s="11" t="str">
        <f aca="false">VLOOKUP(D56,'DATABASE RO'!$B$3:$M$299,10,0)</f>
        <v>GOOD</v>
      </c>
      <c r="N56" s="11"/>
      <c r="O56" s="11" t="str">
        <f aca="false">VLOOKUP(D56,'DATABASE RO'!$B$3:$M$299,12,0)</f>
        <v>0822 - 80005143</v>
      </c>
      <c r="P56" s="11"/>
      <c r="S56" s="9" t="str">
        <f aca="false">B56</f>
        <v>P2</v>
      </c>
      <c r="T56" s="9" t="str">
        <f aca="false">C56</f>
        <v>KENDAL</v>
      </c>
      <c r="U56" s="9" t="str">
        <f aca="false">D56</f>
        <v>1063120251105297</v>
      </c>
      <c r="V56" s="9" t="str">
        <f aca="false">E56</f>
        <v>BUDI UTOMO</v>
      </c>
      <c r="W56" s="10"/>
      <c r="X56" s="11" t="str">
        <f aca="false">VLOOKUP(V56,'DATABASE RO'!$C$3:$M$185,3,0)</f>
        <v>063A7501000862                </v>
      </c>
      <c r="Y56" s="11" t="str">
        <f aca="false">VLOOKUP(V56,'DATABASE RO'!$C$3:$M$185,4,0)</f>
        <v>NO</v>
      </c>
      <c r="Z56" s="11" t="str">
        <f aca="false">VLOOKUP(V56,'DATABASE RO'!$C$3:$M$185,5,0)</f>
        <v>KRAJAN TIMUR RT 002 /RW 006, Sambongsari, Weleri, KAB-Kendal, 51355</v>
      </c>
      <c r="AA56" s="11" t="str">
        <f aca="false">VLOOKUP(V56,'DATABASE RO'!$C$3:$M$185,6,0)</f>
        <v>Sambongsari</v>
      </c>
      <c r="AB56" s="11" t="str">
        <f aca="false">VLOOKUP(V56,'DATABASE RO'!$C$3:$M$185,7,0)</f>
        <v>Weleri</v>
      </c>
      <c r="AC56" s="11" t="str">
        <f aca="false">VLOOKUP(V56,'DATABASE RO'!$C$3:$M$185,8,0)</f>
        <v>https://www.google.com/maps?z=12&amp;t=m&amp;q=loc:-6.972395+110.060835</v>
      </c>
      <c r="AD56" s="11" t="str">
        <f aca="false">VLOOKUP(V56,'DATABASE RO'!$C$3:$M$185,9,0)</f>
        <v>GOOD</v>
      </c>
      <c r="AE56" s="11"/>
      <c r="AF56" s="11" t="str">
        <f aca="false">VLOOKUP(V56,'DATABASE RO'!$C$3:$M$185,11,0)</f>
        <v>0822 - 80005143</v>
      </c>
      <c r="AG56" s="11"/>
      <c r="AJ56" s="10"/>
      <c r="AK56" s="10" t="str">
        <f aca="false">B56</f>
        <v>P2</v>
      </c>
      <c r="AL56" s="10" t="str">
        <f aca="false">C56</f>
        <v>KENDAL</v>
      </c>
      <c r="AM56" s="10" t="str">
        <f aca="false">D56</f>
        <v>1063120251105297</v>
      </c>
      <c r="AN56" s="10" t="str">
        <f aca="false">E56</f>
        <v>BUDI UTOMO</v>
      </c>
      <c r="AO56" s="10" t="str">
        <f aca="false">F56</f>
        <v>Konsumen Aktif M 0 - 6 Lunas</v>
      </c>
      <c r="AP56" s="11" t="str">
        <f aca="false">IFERROR(G56,X56)</f>
        <v>063A7501000862                </v>
      </c>
      <c r="AQ56" s="11" t="str">
        <f aca="false">IFERROR(H56,Y56)</f>
        <v>NO</v>
      </c>
      <c r="AR56" s="11" t="str">
        <f aca="false">IFERROR(I56,Z56)</f>
        <v>KRAJAN TIMUR RT 002 /RW 006, Sambongsari, Weleri, KAB-Kendal, 51355</v>
      </c>
      <c r="AS56" s="11" t="str">
        <f aca="false">IFERROR(J56,AA56)</f>
        <v>Sambongsari</v>
      </c>
      <c r="AT56" s="11" t="str">
        <f aca="false">IFERROR(K56,AB56)</f>
        <v>Weleri</v>
      </c>
      <c r="AU56" s="11" t="str">
        <f aca="false">IFERROR(L56,AC56)</f>
        <v>https://www.google.com/maps?z=12&amp;t=m&amp;q=loc:-6.972395+110.060835</v>
      </c>
      <c r="AV56" s="11" t="str">
        <f aca="false">IFERROR(M56,AD56)</f>
        <v>GOOD</v>
      </c>
      <c r="AW56" s="11" t="n">
        <f aca="false">IFERROR(N56,AE56)</f>
        <v>0</v>
      </c>
      <c r="AX56" s="11" t="str">
        <f aca="false">IFERROR(O56,AF56)</f>
        <v>0822 - 80005143</v>
      </c>
    </row>
    <row r="57" customFormat="false" ht="15.75" hidden="false" customHeight="true" outlineLevel="0" collapsed="false">
      <c r="A57" s="10"/>
      <c r="B57" s="10" t="s">
        <v>18</v>
      </c>
      <c r="C57" s="10" t="s">
        <v>19</v>
      </c>
      <c r="D57" s="10" t="s">
        <v>123</v>
      </c>
      <c r="E57" s="10" t="s">
        <v>124</v>
      </c>
      <c r="F57" s="11" t="s">
        <v>22</v>
      </c>
      <c r="G57" s="11" t="str">
        <f aca="false">VLOOKUP(D57,'DATABASE RO'!$B$3:$M$299,4,0)</f>
        <v>CUS063120220105807            </v>
      </c>
      <c r="H57" s="11" t="str">
        <f aca="false">VLOOKUP(D57,'DATABASE RO'!$B$3:$M$299,5,0)</f>
        <v>NO</v>
      </c>
      <c r="I57" s="11" t="str">
        <f aca="false">VLOOKUP(D57,'DATABASE RO'!$B$3:$M$299,6,0)</f>
        <v>KALIBARENG RT 002 /RW 001, Kalibareng, Patean, KAB-Kendal, 51364</v>
      </c>
      <c r="J57" s="11" t="str">
        <f aca="false">VLOOKUP(D57,'DATABASE RO'!$B$3:$M$299,7,0)</f>
        <v>Kalibareng</v>
      </c>
      <c r="K57" s="11" t="str">
        <f aca="false">VLOOKUP(D57,'DATABASE RO'!$B$3:$M$299,8,0)</f>
        <v>Patean</v>
      </c>
      <c r="L57" s="11" t="str">
        <f aca="false">VLOOKUP(D57,'DATABASE RO'!$B$3:$M$299,9,0)</f>
        <v>https://www.google.com/maps/place/7%C2%B002'47.0%22S+110%C2%B003'59.0%22E/@-7.0715822,110.0242411,13z/data=!4m4!3m3!8m2!3d-7.046375!4d110.066396?entry=ttu&amp;g_ep=EgoyMDI2MDcwNy4wIKXMDSoASAFQAw%3D%3D</v>
      </c>
      <c r="M57" s="11" t="str">
        <f aca="false">VLOOKUP(D57,'DATABASE RO'!$B$3:$M$299,10,0)</f>
        <v>NORMAL</v>
      </c>
      <c r="N57" s="11"/>
      <c r="O57" s="11" t="str">
        <f aca="false">VLOOKUP(D57,'DATABASE RO'!$B$3:$M$299,12,0)</f>
        <v>0813 - 93283556</v>
      </c>
      <c r="P57" s="11"/>
      <c r="S57" s="9" t="str">
        <f aca="false">B57</f>
        <v>P2</v>
      </c>
      <c r="T57" s="9" t="str">
        <f aca="false">C57</f>
        <v>KENDAL</v>
      </c>
      <c r="U57" s="9" t="str">
        <f aca="false">D57</f>
        <v>1063120251105298</v>
      </c>
      <c r="V57" s="9" t="str">
        <f aca="false">E57</f>
        <v>SLAMET.S</v>
      </c>
      <c r="W57" s="10"/>
      <c r="X57" s="11" t="str">
        <f aca="false">VLOOKUP(V57,'DATABASE RO'!$C$3:$M$185,3,0)</f>
        <v>CUS063120220105807            </v>
      </c>
      <c r="Y57" s="11" t="str">
        <f aca="false">VLOOKUP(V57,'DATABASE RO'!$C$3:$M$185,4,0)</f>
        <v>NO</v>
      </c>
      <c r="Z57" s="11" t="str">
        <f aca="false">VLOOKUP(V57,'DATABASE RO'!$C$3:$M$185,5,0)</f>
        <v>KALIBARENG RT 002 /RW 001, Kalibareng, Patean, KAB-Kendal, 51364</v>
      </c>
      <c r="AA57" s="11" t="str">
        <f aca="false">VLOOKUP(V57,'DATABASE RO'!$C$3:$M$185,6,0)</f>
        <v>Kalibareng</v>
      </c>
      <c r="AB57" s="11" t="str">
        <f aca="false">VLOOKUP(V57,'DATABASE RO'!$C$3:$M$185,7,0)</f>
        <v>Patean</v>
      </c>
      <c r="AC57" s="11" t="str">
        <f aca="false">VLOOKUP(V57,'DATABASE RO'!$C$3:$M$185,8,0)</f>
        <v>https://www.google.com/maps/place/7%C2%B002'47.0%22S+110%C2%B003'59.0%22E/@-7.0715822,110.0242411,13z/data=!4m4!3m3!8m2!3d-7.046375!4d110.066396?entry=ttu&amp;g_ep=EgoyMDI2MDcwNy4wIKXMDSoASAFQAw%3D%3D</v>
      </c>
      <c r="AD57" s="11" t="str">
        <f aca="false">VLOOKUP(V57,'DATABASE RO'!$C$3:$M$185,9,0)</f>
        <v>NORMAL</v>
      </c>
      <c r="AE57" s="11"/>
      <c r="AF57" s="11" t="str">
        <f aca="false">VLOOKUP(V57,'DATABASE RO'!$C$3:$M$185,11,0)</f>
        <v>0813 - 93283556</v>
      </c>
      <c r="AG57" s="11"/>
      <c r="AJ57" s="10"/>
      <c r="AK57" s="10" t="str">
        <f aca="false">B57</f>
        <v>P2</v>
      </c>
      <c r="AL57" s="10" t="str">
        <f aca="false">C57</f>
        <v>KENDAL</v>
      </c>
      <c r="AM57" s="10" t="str">
        <f aca="false">D57</f>
        <v>1063120251105298</v>
      </c>
      <c r="AN57" s="10" t="str">
        <f aca="false">E57</f>
        <v>SLAMET.S</v>
      </c>
      <c r="AO57" s="10" t="str">
        <f aca="false">F57</f>
        <v>Konsumen Aktif M 0 - 6 Lunas</v>
      </c>
      <c r="AP57" s="11" t="str">
        <f aca="false">IFERROR(G57,X57)</f>
        <v>CUS063120220105807            </v>
      </c>
      <c r="AQ57" s="11" t="str">
        <f aca="false">IFERROR(H57,Y57)</f>
        <v>NO</v>
      </c>
      <c r="AR57" s="11" t="str">
        <f aca="false">IFERROR(I57,Z57)</f>
        <v>KALIBARENG RT 002 /RW 001, Kalibareng, Patean, KAB-Kendal, 51364</v>
      </c>
      <c r="AS57" s="11" t="str">
        <f aca="false">IFERROR(J57,AA57)</f>
        <v>Kalibareng</v>
      </c>
      <c r="AT57" s="11" t="str">
        <f aca="false">IFERROR(K57,AB57)</f>
        <v>Patean</v>
      </c>
      <c r="AU57" s="11" t="str">
        <f aca="false">IFERROR(L57,AC57)</f>
        <v>https://www.google.com/maps/place/7%C2%B002'47.0%22S+110%C2%B003'59.0%22E/@-7.0715822,110.0242411,13z/data=!4m4!3m3!8m2!3d-7.046375!4d110.066396?entry=ttu&amp;g_ep=EgoyMDI2MDcwNy4wIKXMDSoASAFQAw%3D%3D</v>
      </c>
      <c r="AV57" s="11" t="str">
        <f aca="false">IFERROR(M57,AD57)</f>
        <v>NORMAL</v>
      </c>
      <c r="AW57" s="11" t="n">
        <f aca="false">IFERROR(N57,AE57)</f>
        <v>0</v>
      </c>
      <c r="AX57" s="11" t="str">
        <f aca="false">IFERROR(O57,AF57)</f>
        <v>0813 - 93283556</v>
      </c>
    </row>
    <row r="58" customFormat="false" ht="15.75" hidden="false" customHeight="true" outlineLevel="0" collapsed="false">
      <c r="A58" s="9" t="s">
        <v>1</v>
      </c>
      <c r="B58" s="10" t="s">
        <v>18</v>
      </c>
      <c r="C58" s="10" t="s">
        <v>19</v>
      </c>
      <c r="D58" s="10" t="s">
        <v>125</v>
      </c>
      <c r="E58" s="10" t="s">
        <v>126</v>
      </c>
      <c r="F58" s="11" t="s">
        <v>22</v>
      </c>
      <c r="G58" s="11" t="e">
        <f aca="false">VLOOKUP(D58,'DATABASE RO'!$B$3:$M$299,4,0)</f>
        <v>#N/A</v>
      </c>
      <c r="H58" s="11" t="e">
        <f aca="false">VLOOKUP(D58,'DATABASE RO'!$B$3:$M$299,5,0)</f>
        <v>#N/A</v>
      </c>
      <c r="I58" s="11" t="e">
        <f aca="false">VLOOKUP(D58,'DATABASE RO'!$B$3:$M$299,6,0)</f>
        <v>#N/A</v>
      </c>
      <c r="J58" s="11" t="e">
        <f aca="false">VLOOKUP(D58,'DATABASE RO'!$B$3:$M$299,7,0)</f>
        <v>#N/A</v>
      </c>
      <c r="K58" s="11" t="e">
        <f aca="false">VLOOKUP(D58,'DATABASE RO'!$B$3:$M$299,8,0)</f>
        <v>#N/A</v>
      </c>
      <c r="L58" s="11" t="e">
        <f aca="false">VLOOKUP(D58,'DATABASE RO'!$B$3:$M$299,9,0)</f>
        <v>#N/A</v>
      </c>
      <c r="M58" s="11" t="e">
        <f aca="false">VLOOKUP(D58,'DATABASE RO'!$B$3:$M$299,10,0)</f>
        <v>#N/A</v>
      </c>
      <c r="N58" s="11"/>
      <c r="O58" s="11" t="e">
        <f aca="false">VLOOKUP(D58,'DATABASE RO'!$B$3:$M$299,12,0)</f>
        <v>#N/A</v>
      </c>
      <c r="P58" s="11"/>
      <c r="S58" s="9" t="str">
        <f aca="false">B58</f>
        <v>P2</v>
      </c>
      <c r="T58" s="9" t="str">
        <f aca="false">C58</f>
        <v>KENDAL</v>
      </c>
      <c r="U58" s="9" t="str">
        <f aca="false">D58</f>
        <v>1063120251105306</v>
      </c>
      <c r="V58" s="9" t="str">
        <f aca="false">E58</f>
        <v>ENDAHWATI</v>
      </c>
      <c r="W58" s="10"/>
      <c r="X58" s="11" t="e">
        <f aca="false">VLOOKUP(V58,'DATABASE RO'!$C$3:$M$185,3,0)</f>
        <v>#N/A</v>
      </c>
      <c r="Y58" s="11" t="e">
        <f aca="false">VLOOKUP(V58,'DATABASE RO'!$C$3:$M$185,4,0)</f>
        <v>#N/A</v>
      </c>
      <c r="Z58" s="11" t="e">
        <f aca="false">VLOOKUP(V58,'DATABASE RO'!$C$3:$M$185,5,0)</f>
        <v>#N/A</v>
      </c>
      <c r="AA58" s="11" t="e">
        <f aca="false">VLOOKUP(V58,'DATABASE RO'!$C$3:$M$185,6,0)</f>
        <v>#N/A</v>
      </c>
      <c r="AB58" s="11" t="e">
        <f aca="false">VLOOKUP(V58,'DATABASE RO'!$C$3:$M$185,7,0)</f>
        <v>#N/A</v>
      </c>
      <c r="AC58" s="11" t="e">
        <f aca="false">VLOOKUP(V58,'DATABASE RO'!$C$3:$M$185,8,0)</f>
        <v>#N/A</v>
      </c>
      <c r="AD58" s="11" t="e">
        <f aca="false">VLOOKUP(V58,'DATABASE RO'!$C$3:$M$185,9,0)</f>
        <v>#N/A</v>
      </c>
      <c r="AE58" s="11"/>
      <c r="AF58" s="11" t="e">
        <f aca="false">VLOOKUP(V58,'DATABASE RO'!$C$3:$M$185,11,0)</f>
        <v>#N/A</v>
      </c>
      <c r="AG58" s="11"/>
      <c r="AJ58" s="9" t="s">
        <v>1</v>
      </c>
      <c r="AK58" s="10" t="str">
        <f aca="false">B58</f>
        <v>P2</v>
      </c>
      <c r="AL58" s="10" t="str">
        <f aca="false">C58</f>
        <v>KENDAL</v>
      </c>
      <c r="AM58" s="10" t="str">
        <f aca="false">D58</f>
        <v>1063120251105306</v>
      </c>
      <c r="AN58" s="10" t="str">
        <f aca="false">E58</f>
        <v>ENDAHWATI</v>
      </c>
      <c r="AO58" s="10" t="str">
        <f aca="false">F58</f>
        <v>Konsumen Aktif M 0 - 6 Lunas</v>
      </c>
      <c r="AP58" s="11" t="e">
        <f aca="false">IFERROR(G58,X58)</f>
        <v>#N/A</v>
      </c>
      <c r="AQ58" s="11" t="e">
        <f aca="false">IFERROR(H58,Y58)</f>
        <v>#N/A</v>
      </c>
      <c r="AR58" s="11" t="e">
        <f aca="false">IFERROR(I58,Z58)</f>
        <v>#N/A</v>
      </c>
      <c r="AS58" s="11" t="e">
        <f aca="false">IFERROR(J58,AA58)</f>
        <v>#N/A</v>
      </c>
      <c r="AT58" s="11" t="e">
        <f aca="false">IFERROR(K58,AB58)</f>
        <v>#N/A</v>
      </c>
      <c r="AU58" s="11" t="e">
        <f aca="false">IFERROR(L58,AC58)</f>
        <v>#N/A</v>
      </c>
      <c r="AV58" s="11" t="e">
        <f aca="false">IFERROR(M58,AD58)</f>
        <v>#N/A</v>
      </c>
      <c r="AW58" s="11" t="n">
        <f aca="false">IFERROR(N58,AE58)</f>
        <v>0</v>
      </c>
      <c r="AX58" s="11" t="e">
        <f aca="false">IFERROR(O58,AF58)</f>
        <v>#N/A</v>
      </c>
    </row>
    <row r="59" customFormat="false" ht="15.75" hidden="false" customHeight="true" outlineLevel="0" collapsed="false">
      <c r="A59" s="9" t="s">
        <v>1</v>
      </c>
      <c r="B59" s="10" t="s">
        <v>18</v>
      </c>
      <c r="C59" s="10" t="s">
        <v>19</v>
      </c>
      <c r="D59" s="10" t="s">
        <v>127</v>
      </c>
      <c r="E59" s="10" t="s">
        <v>128</v>
      </c>
      <c r="F59" s="11" t="s">
        <v>22</v>
      </c>
      <c r="G59" s="11" t="e">
        <f aca="false">VLOOKUP(D59,'DATABASE RO'!$B$3:$M$299,4,0)</f>
        <v>#N/A</v>
      </c>
      <c r="H59" s="11" t="e">
        <f aca="false">VLOOKUP(D59,'DATABASE RO'!$B$3:$M$299,5,0)</f>
        <v>#N/A</v>
      </c>
      <c r="I59" s="11" t="e">
        <f aca="false">VLOOKUP(D59,'DATABASE RO'!$B$3:$M$299,6,0)</f>
        <v>#N/A</v>
      </c>
      <c r="J59" s="11" t="e">
        <f aca="false">VLOOKUP(D59,'DATABASE RO'!$B$3:$M$299,7,0)</f>
        <v>#N/A</v>
      </c>
      <c r="K59" s="11" t="e">
        <f aca="false">VLOOKUP(D59,'DATABASE RO'!$B$3:$M$299,8,0)</f>
        <v>#N/A</v>
      </c>
      <c r="L59" s="11" t="e">
        <f aca="false">VLOOKUP(D59,'DATABASE RO'!$B$3:$M$299,9,0)</f>
        <v>#N/A</v>
      </c>
      <c r="M59" s="11" t="e">
        <f aca="false">VLOOKUP(D59,'DATABASE RO'!$B$3:$M$299,10,0)</f>
        <v>#N/A</v>
      </c>
      <c r="N59" s="11"/>
      <c r="O59" s="11" t="e">
        <f aca="false">VLOOKUP(D59,'DATABASE RO'!$B$3:$M$299,12,0)</f>
        <v>#N/A</v>
      </c>
      <c r="P59" s="11"/>
      <c r="S59" s="9" t="str">
        <f aca="false">B59</f>
        <v>P2</v>
      </c>
      <c r="T59" s="9" t="str">
        <f aca="false">C59</f>
        <v>KENDAL</v>
      </c>
      <c r="U59" s="9" t="str">
        <f aca="false">D59</f>
        <v>1063120251105309</v>
      </c>
      <c r="V59" s="9" t="str">
        <f aca="false">E59</f>
        <v>INDAH SETYONINGSIH</v>
      </c>
      <c r="W59" s="10"/>
      <c r="X59" s="11" t="e">
        <f aca="false">VLOOKUP(V59,'DATABASE RO'!$C$3:$M$185,3,0)</f>
        <v>#N/A</v>
      </c>
      <c r="Y59" s="11" t="e">
        <f aca="false">VLOOKUP(V59,'DATABASE RO'!$C$3:$M$185,4,0)</f>
        <v>#N/A</v>
      </c>
      <c r="Z59" s="11" t="e">
        <f aca="false">VLOOKUP(V59,'DATABASE RO'!$C$3:$M$185,5,0)</f>
        <v>#N/A</v>
      </c>
      <c r="AA59" s="11" t="e">
        <f aca="false">VLOOKUP(V59,'DATABASE RO'!$C$3:$M$185,6,0)</f>
        <v>#N/A</v>
      </c>
      <c r="AB59" s="11" t="e">
        <f aca="false">VLOOKUP(V59,'DATABASE RO'!$C$3:$M$185,7,0)</f>
        <v>#N/A</v>
      </c>
      <c r="AC59" s="11" t="e">
        <f aca="false">VLOOKUP(V59,'DATABASE RO'!$C$3:$M$185,8,0)</f>
        <v>#N/A</v>
      </c>
      <c r="AD59" s="11" t="e">
        <f aca="false">VLOOKUP(V59,'DATABASE RO'!$C$3:$M$185,9,0)</f>
        <v>#N/A</v>
      </c>
      <c r="AE59" s="11"/>
      <c r="AF59" s="11" t="e">
        <f aca="false">VLOOKUP(V59,'DATABASE RO'!$C$3:$M$185,11,0)</f>
        <v>#N/A</v>
      </c>
      <c r="AG59" s="11"/>
      <c r="AJ59" s="9" t="s">
        <v>1</v>
      </c>
      <c r="AK59" s="10" t="str">
        <f aca="false">B59</f>
        <v>P2</v>
      </c>
      <c r="AL59" s="10" t="str">
        <f aca="false">C59</f>
        <v>KENDAL</v>
      </c>
      <c r="AM59" s="10" t="str">
        <f aca="false">D59</f>
        <v>1063120251105309</v>
      </c>
      <c r="AN59" s="10" t="str">
        <f aca="false">E59</f>
        <v>INDAH SETYONINGSIH</v>
      </c>
      <c r="AO59" s="10" t="str">
        <f aca="false">F59</f>
        <v>Konsumen Aktif M 0 - 6 Lunas</v>
      </c>
      <c r="AP59" s="11" t="e">
        <f aca="false">IFERROR(G59,X59)</f>
        <v>#N/A</v>
      </c>
      <c r="AQ59" s="11" t="e">
        <f aca="false">IFERROR(H59,Y59)</f>
        <v>#N/A</v>
      </c>
      <c r="AR59" s="11" t="e">
        <f aca="false">IFERROR(I59,Z59)</f>
        <v>#N/A</v>
      </c>
      <c r="AS59" s="11" t="e">
        <f aca="false">IFERROR(J59,AA59)</f>
        <v>#N/A</v>
      </c>
      <c r="AT59" s="11" t="e">
        <f aca="false">IFERROR(K59,AB59)</f>
        <v>#N/A</v>
      </c>
      <c r="AU59" s="11" t="e">
        <f aca="false">IFERROR(L59,AC59)</f>
        <v>#N/A</v>
      </c>
      <c r="AV59" s="11" t="e">
        <f aca="false">IFERROR(M59,AD59)</f>
        <v>#N/A</v>
      </c>
      <c r="AW59" s="11" t="n">
        <f aca="false">IFERROR(N59,AE59)</f>
        <v>0</v>
      </c>
      <c r="AX59" s="11" t="e">
        <f aca="false">IFERROR(O59,AF59)</f>
        <v>#N/A</v>
      </c>
    </row>
    <row r="60" customFormat="false" ht="15.75" hidden="false" customHeight="true" outlineLevel="0" collapsed="false">
      <c r="A60" s="9" t="s">
        <v>1</v>
      </c>
      <c r="B60" s="10" t="s">
        <v>18</v>
      </c>
      <c r="C60" s="10" t="s">
        <v>19</v>
      </c>
      <c r="D60" s="10" t="s">
        <v>129</v>
      </c>
      <c r="E60" s="10" t="s">
        <v>130</v>
      </c>
      <c r="F60" s="11" t="s">
        <v>22</v>
      </c>
      <c r="G60" s="11" t="e">
        <f aca="false">VLOOKUP(D60,'DATABASE RO'!$B$3:$M$299,4,0)</f>
        <v>#N/A</v>
      </c>
      <c r="H60" s="11" t="e">
        <f aca="false">VLOOKUP(D60,'DATABASE RO'!$B$3:$M$299,5,0)</f>
        <v>#N/A</v>
      </c>
      <c r="I60" s="11" t="e">
        <f aca="false">VLOOKUP(D60,'DATABASE RO'!$B$3:$M$299,6,0)</f>
        <v>#N/A</v>
      </c>
      <c r="J60" s="11" t="e">
        <f aca="false">VLOOKUP(D60,'DATABASE RO'!$B$3:$M$299,7,0)</f>
        <v>#N/A</v>
      </c>
      <c r="K60" s="11" t="e">
        <f aca="false">VLOOKUP(D60,'DATABASE RO'!$B$3:$M$299,8,0)</f>
        <v>#N/A</v>
      </c>
      <c r="L60" s="11" t="e">
        <f aca="false">VLOOKUP(D60,'DATABASE RO'!$B$3:$M$299,9,0)</f>
        <v>#N/A</v>
      </c>
      <c r="M60" s="11" t="e">
        <f aca="false">VLOOKUP(D60,'DATABASE RO'!$B$3:$M$299,10,0)</f>
        <v>#N/A</v>
      </c>
      <c r="N60" s="11"/>
      <c r="O60" s="11" t="e">
        <f aca="false">VLOOKUP(D60,'DATABASE RO'!$B$3:$M$299,12,0)</f>
        <v>#N/A</v>
      </c>
      <c r="P60" s="11"/>
      <c r="S60" s="9" t="str">
        <f aca="false">B60</f>
        <v>P2</v>
      </c>
      <c r="T60" s="9" t="str">
        <f aca="false">C60</f>
        <v>KENDAL</v>
      </c>
      <c r="U60" s="9" t="str">
        <f aca="false">D60</f>
        <v>1063120251205333</v>
      </c>
      <c r="V60" s="9" t="str">
        <f aca="false">E60</f>
        <v>RUNODHO</v>
      </c>
      <c r="W60" s="10"/>
      <c r="X60" s="11" t="e">
        <f aca="false">VLOOKUP(V60,'DATABASE RO'!$C$3:$M$185,3,0)</f>
        <v>#N/A</v>
      </c>
      <c r="Y60" s="11" t="e">
        <f aca="false">VLOOKUP(V60,'DATABASE RO'!$C$3:$M$185,4,0)</f>
        <v>#N/A</v>
      </c>
      <c r="Z60" s="11" t="e">
        <f aca="false">VLOOKUP(V60,'DATABASE RO'!$C$3:$M$185,5,0)</f>
        <v>#N/A</v>
      </c>
      <c r="AA60" s="11" t="e">
        <f aca="false">VLOOKUP(V60,'DATABASE RO'!$C$3:$M$185,6,0)</f>
        <v>#N/A</v>
      </c>
      <c r="AB60" s="11" t="e">
        <f aca="false">VLOOKUP(V60,'DATABASE RO'!$C$3:$M$185,7,0)</f>
        <v>#N/A</v>
      </c>
      <c r="AC60" s="11" t="e">
        <f aca="false">VLOOKUP(V60,'DATABASE RO'!$C$3:$M$185,8,0)</f>
        <v>#N/A</v>
      </c>
      <c r="AD60" s="11" t="e">
        <f aca="false">VLOOKUP(V60,'DATABASE RO'!$C$3:$M$185,9,0)</f>
        <v>#N/A</v>
      </c>
      <c r="AE60" s="11"/>
      <c r="AF60" s="11" t="e">
        <f aca="false">VLOOKUP(V60,'DATABASE RO'!$C$3:$M$185,11,0)</f>
        <v>#N/A</v>
      </c>
      <c r="AG60" s="11"/>
      <c r="AJ60" s="9" t="s">
        <v>1</v>
      </c>
      <c r="AK60" s="10" t="str">
        <f aca="false">B60</f>
        <v>P2</v>
      </c>
      <c r="AL60" s="10" t="str">
        <f aca="false">C60</f>
        <v>KENDAL</v>
      </c>
      <c r="AM60" s="10" t="str">
        <f aca="false">D60</f>
        <v>1063120251205333</v>
      </c>
      <c r="AN60" s="10" t="str">
        <f aca="false">E60</f>
        <v>RUNODHO</v>
      </c>
      <c r="AO60" s="10" t="str">
        <f aca="false">F60</f>
        <v>Konsumen Aktif M 0 - 6 Lunas</v>
      </c>
      <c r="AP60" s="11" t="e">
        <f aca="false">IFERROR(G60,X60)</f>
        <v>#N/A</v>
      </c>
      <c r="AQ60" s="11" t="e">
        <f aca="false">IFERROR(H60,Y60)</f>
        <v>#N/A</v>
      </c>
      <c r="AR60" s="11" t="e">
        <f aca="false">IFERROR(I60,Z60)</f>
        <v>#N/A</v>
      </c>
      <c r="AS60" s="11" t="e">
        <f aca="false">IFERROR(J60,AA60)</f>
        <v>#N/A</v>
      </c>
      <c r="AT60" s="11" t="e">
        <f aca="false">IFERROR(K60,AB60)</f>
        <v>#N/A</v>
      </c>
      <c r="AU60" s="11" t="e">
        <f aca="false">IFERROR(L60,AC60)</f>
        <v>#N/A</v>
      </c>
      <c r="AV60" s="11" t="e">
        <f aca="false">IFERROR(M60,AD60)</f>
        <v>#N/A</v>
      </c>
      <c r="AW60" s="11" t="n">
        <f aca="false">IFERROR(N60,AE60)</f>
        <v>0</v>
      </c>
      <c r="AX60" s="11" t="e">
        <f aca="false">IFERROR(O60,AF60)</f>
        <v>#N/A</v>
      </c>
    </row>
    <row r="61" customFormat="false" ht="15.75" hidden="false" customHeight="true" outlineLevel="0" collapsed="false">
      <c r="A61" s="10"/>
      <c r="B61" s="10" t="s">
        <v>18</v>
      </c>
      <c r="C61" s="10" t="s">
        <v>19</v>
      </c>
      <c r="D61" s="10" t="s">
        <v>131</v>
      </c>
      <c r="E61" s="10" t="s">
        <v>132</v>
      </c>
      <c r="F61" s="11" t="s">
        <v>22</v>
      </c>
      <c r="G61" s="11" t="str">
        <f aca="false">VLOOKUP(D61,'DATABASE RO'!$B$3:$M$299,4,0)</f>
        <v>CUS063120190400364            </v>
      </c>
      <c r="H61" s="11" t="str">
        <f aca="false">VLOOKUP(D61,'DATABASE RO'!$B$3:$M$299,5,0)</f>
        <v>YES</v>
      </c>
      <c r="I61" s="11" t="str">
        <f aca="false">VLOOKUP(D61,'DATABASE RO'!$B$3:$M$299,6,0)</f>
        <v>WATUDONO RT 002 /RW 005, Surokonto Wetan, Pagerruyung, KAB-Kendal, 51361</v>
      </c>
      <c r="J61" s="11" t="str">
        <f aca="false">VLOOKUP(D61,'DATABASE RO'!$B$3:$M$299,7,0)</f>
        <v>Surokonto Wetan</v>
      </c>
      <c r="K61" s="11" t="str">
        <f aca="false">VLOOKUP(D61,'DATABASE RO'!$B$3:$M$299,8,0)</f>
        <v>Pagerruyung</v>
      </c>
      <c r="L61" s="11" t="str">
        <f aca="false">VLOOKUP(D61,'DATABASE RO'!$B$3:$M$299,9,0)</f>
        <v>https://www.google.com/maps?z=12&amp;t=m&amp;q=loc:-7.019104+110.054403</v>
      </c>
      <c r="M61" s="11" t="str">
        <f aca="false">VLOOKUP(D61,'DATABASE RO'!$B$3:$M$299,10,0)</f>
        <v>GOOD</v>
      </c>
      <c r="N61" s="11"/>
      <c r="O61" s="11" t="str">
        <f aca="false">VLOOKUP(D61,'DATABASE RO'!$B$3:$M$299,12,0)</f>
        <v>0823 - 24295732</v>
      </c>
      <c r="P61" s="11"/>
      <c r="S61" s="9" t="str">
        <f aca="false">B61</f>
        <v>P2</v>
      </c>
      <c r="T61" s="9" t="str">
        <f aca="false">C61</f>
        <v>KENDAL</v>
      </c>
      <c r="U61" s="9" t="str">
        <f aca="false">D61</f>
        <v>1063120260105352</v>
      </c>
      <c r="V61" s="9" t="str">
        <f aca="false">E61</f>
        <v>SUGENG LISTIAWAN</v>
      </c>
      <c r="W61" s="10"/>
      <c r="X61" s="11" t="str">
        <f aca="false">VLOOKUP(V61,'DATABASE RO'!$C$3:$M$185,3,0)</f>
        <v>CUS063120190400364</v>
      </c>
      <c r="Y61" s="11" t="str">
        <f aca="false">VLOOKUP(V61,'DATABASE RO'!$C$3:$M$185,4,0)</f>
        <v>YES</v>
      </c>
      <c r="Z61" s="11" t="str">
        <f aca="false">VLOOKUP(V61,'DATABASE RO'!$C$3:$M$185,5,0)</f>
        <v>WATUDONO RT 002 /RW 005, Surokonto Wetan, Pagerruyung, KAB-Kendal, 51361</v>
      </c>
      <c r="AA61" s="11" t="str">
        <f aca="false">VLOOKUP(V61,'DATABASE RO'!$C$3:$M$185,6,0)</f>
        <v>Surokonto Wetan</v>
      </c>
      <c r="AB61" s="11" t="str">
        <f aca="false">VLOOKUP(V61,'DATABASE RO'!$C$3:$M$185,7,0)</f>
        <v>Pagerruyung</v>
      </c>
      <c r="AC61" s="11" t="str">
        <f aca="false">VLOOKUP(V61,'DATABASE RO'!$C$3:$M$185,8,0)</f>
        <v>https://www.google.com/maps/place/7%C2%B004'48.8%22S+110%C2%B002'56.0%22E/@-7.08023,110.0463121,17z/data=!3m1!4b1!4m4!3m3!8m2!3d-7.08023!4d110.048887?entry=ttu&amp;g_ep=EgoyMDI1MTAwOC4wIKXMDSoASAFQAw%3D%3D</v>
      </c>
      <c r="AD61" s="11" t="n">
        <f aca="false">VLOOKUP(V61,'DATABASE RO'!$C$3:$M$185,9,0)</f>
        <v>0</v>
      </c>
      <c r="AE61" s="11"/>
      <c r="AF61" s="11" t="str">
        <f aca="false">VLOOKUP(V61,'DATABASE RO'!$C$3:$M$185,11,0)</f>
        <v>0823 - 24295732</v>
      </c>
      <c r="AG61" s="11"/>
      <c r="AJ61" s="10"/>
      <c r="AK61" s="10" t="str">
        <f aca="false">B61</f>
        <v>P2</v>
      </c>
      <c r="AL61" s="10" t="str">
        <f aca="false">C61</f>
        <v>KENDAL</v>
      </c>
      <c r="AM61" s="10" t="str">
        <f aca="false">D61</f>
        <v>1063120260105352</v>
      </c>
      <c r="AN61" s="10" t="str">
        <f aca="false">E61</f>
        <v>SUGENG LISTIAWAN</v>
      </c>
      <c r="AO61" s="10" t="str">
        <f aca="false">F61</f>
        <v>Konsumen Aktif M 0 - 6 Lunas</v>
      </c>
      <c r="AP61" s="11" t="str">
        <f aca="false">IFERROR(G61,X61)</f>
        <v>CUS063120190400364            </v>
      </c>
      <c r="AQ61" s="11" t="str">
        <f aca="false">IFERROR(H61,Y61)</f>
        <v>YES</v>
      </c>
      <c r="AR61" s="11" t="str">
        <f aca="false">IFERROR(I61,Z61)</f>
        <v>WATUDONO RT 002 /RW 005, Surokonto Wetan, Pagerruyung, KAB-Kendal, 51361</v>
      </c>
      <c r="AS61" s="11" t="str">
        <f aca="false">IFERROR(J61,AA61)</f>
        <v>Surokonto Wetan</v>
      </c>
      <c r="AT61" s="11" t="str">
        <f aca="false">IFERROR(K61,AB61)</f>
        <v>Pagerruyung</v>
      </c>
      <c r="AU61" s="11" t="str">
        <f aca="false">IFERROR(L61,AC61)</f>
        <v>https://www.google.com/maps?z=12&amp;t=m&amp;q=loc:-7.019104+110.054403</v>
      </c>
      <c r="AV61" s="11" t="str">
        <f aca="false">IFERROR(M61,AD61)</f>
        <v>GOOD</v>
      </c>
      <c r="AW61" s="11" t="n">
        <f aca="false">IFERROR(N61,AE61)</f>
        <v>0</v>
      </c>
      <c r="AX61" s="11" t="str">
        <f aca="false">IFERROR(O61,AF61)</f>
        <v>0823 - 24295732</v>
      </c>
    </row>
    <row r="62" customFormat="false" ht="15.75" hidden="false" customHeight="true" outlineLevel="0" collapsed="false">
      <c r="A62" s="9" t="s">
        <v>1</v>
      </c>
      <c r="B62" s="10" t="s">
        <v>18</v>
      </c>
      <c r="C62" s="10" t="s">
        <v>19</v>
      </c>
      <c r="D62" s="10" t="s">
        <v>133</v>
      </c>
      <c r="E62" s="10" t="s">
        <v>134</v>
      </c>
      <c r="F62" s="11" t="s">
        <v>22</v>
      </c>
      <c r="G62" s="11" t="e">
        <f aca="false">VLOOKUP(D62,'DATABASE RO'!$B$3:$M$299,4,0)</f>
        <v>#N/A</v>
      </c>
      <c r="H62" s="11" t="e">
        <f aca="false">VLOOKUP(D62,'DATABASE RO'!$B$3:$M$299,5,0)</f>
        <v>#N/A</v>
      </c>
      <c r="I62" s="11" t="e">
        <f aca="false">VLOOKUP(D62,'DATABASE RO'!$B$3:$M$299,6,0)</f>
        <v>#N/A</v>
      </c>
      <c r="J62" s="11" t="e">
        <f aca="false">VLOOKUP(D62,'DATABASE RO'!$B$3:$M$299,7,0)</f>
        <v>#N/A</v>
      </c>
      <c r="K62" s="11" t="e">
        <f aca="false">VLOOKUP(D62,'DATABASE RO'!$B$3:$M$299,8,0)</f>
        <v>#N/A</v>
      </c>
      <c r="L62" s="11" t="e">
        <f aca="false">VLOOKUP(D62,'DATABASE RO'!$B$3:$M$299,9,0)</f>
        <v>#N/A</v>
      </c>
      <c r="M62" s="11" t="e">
        <f aca="false">VLOOKUP(D62,'DATABASE RO'!$B$3:$M$299,10,0)</f>
        <v>#N/A</v>
      </c>
      <c r="N62" s="11"/>
      <c r="O62" s="11" t="e">
        <f aca="false">VLOOKUP(D62,'DATABASE RO'!$B$3:$M$299,12,0)</f>
        <v>#N/A</v>
      </c>
      <c r="P62" s="11"/>
      <c r="S62" s="9" t="str">
        <f aca="false">B62</f>
        <v>P2</v>
      </c>
      <c r="T62" s="9" t="str">
        <f aca="false">C62</f>
        <v>KENDAL</v>
      </c>
      <c r="U62" s="9" t="str">
        <f aca="false">D62</f>
        <v>1063120260105354</v>
      </c>
      <c r="V62" s="9" t="str">
        <f aca="false">E62</f>
        <v>YUYUN PRAMITA</v>
      </c>
      <c r="W62" s="10"/>
      <c r="X62" s="11" t="e">
        <f aca="false">VLOOKUP(V62,'DATABASE RO'!$C$3:$M$185,3,0)</f>
        <v>#N/A</v>
      </c>
      <c r="Y62" s="11" t="e">
        <f aca="false">VLOOKUP(V62,'DATABASE RO'!$C$3:$M$185,4,0)</f>
        <v>#N/A</v>
      </c>
      <c r="Z62" s="11" t="e">
        <f aca="false">VLOOKUP(V62,'DATABASE RO'!$C$3:$M$185,5,0)</f>
        <v>#N/A</v>
      </c>
      <c r="AA62" s="11" t="e">
        <f aca="false">VLOOKUP(V62,'DATABASE RO'!$C$3:$M$185,6,0)</f>
        <v>#N/A</v>
      </c>
      <c r="AB62" s="11" t="e">
        <f aca="false">VLOOKUP(V62,'DATABASE RO'!$C$3:$M$185,7,0)</f>
        <v>#N/A</v>
      </c>
      <c r="AC62" s="11" t="e">
        <f aca="false">VLOOKUP(V62,'DATABASE RO'!$C$3:$M$185,8,0)</f>
        <v>#N/A</v>
      </c>
      <c r="AD62" s="11" t="e">
        <f aca="false">VLOOKUP(V62,'DATABASE RO'!$C$3:$M$185,9,0)</f>
        <v>#N/A</v>
      </c>
      <c r="AE62" s="11"/>
      <c r="AF62" s="11" t="e">
        <f aca="false">VLOOKUP(V62,'DATABASE RO'!$C$3:$M$185,11,0)</f>
        <v>#N/A</v>
      </c>
      <c r="AG62" s="11"/>
      <c r="AJ62" s="9" t="s">
        <v>1</v>
      </c>
      <c r="AK62" s="10" t="str">
        <f aca="false">B62</f>
        <v>P2</v>
      </c>
      <c r="AL62" s="10" t="str">
        <f aca="false">C62</f>
        <v>KENDAL</v>
      </c>
      <c r="AM62" s="10" t="str">
        <f aca="false">D62</f>
        <v>1063120260105354</v>
      </c>
      <c r="AN62" s="10" t="str">
        <f aca="false">E62</f>
        <v>YUYUN PRAMITA</v>
      </c>
      <c r="AO62" s="10" t="str">
        <f aca="false">F62</f>
        <v>Konsumen Aktif M 0 - 6 Lunas</v>
      </c>
      <c r="AP62" s="11" t="e">
        <f aca="false">IFERROR(G62,X62)</f>
        <v>#N/A</v>
      </c>
      <c r="AQ62" s="11" t="e">
        <f aca="false">IFERROR(H62,Y62)</f>
        <v>#N/A</v>
      </c>
      <c r="AR62" s="11" t="e">
        <f aca="false">IFERROR(I62,Z62)</f>
        <v>#N/A</v>
      </c>
      <c r="AS62" s="11" t="e">
        <f aca="false">IFERROR(J62,AA62)</f>
        <v>#N/A</v>
      </c>
      <c r="AT62" s="11" t="e">
        <f aca="false">IFERROR(K62,AB62)</f>
        <v>#N/A</v>
      </c>
      <c r="AU62" s="11" t="e">
        <f aca="false">IFERROR(L62,AC62)</f>
        <v>#N/A</v>
      </c>
      <c r="AV62" s="11" t="e">
        <f aca="false">IFERROR(M62,AD62)</f>
        <v>#N/A</v>
      </c>
      <c r="AW62" s="11" t="n">
        <f aca="false">IFERROR(N62,AE62)</f>
        <v>0</v>
      </c>
      <c r="AX62" s="11" t="e">
        <f aca="false">IFERROR(O62,AF62)</f>
        <v>#N/A</v>
      </c>
    </row>
    <row r="63" customFormat="false" ht="15.75" hidden="false" customHeight="true" outlineLevel="0" collapsed="false">
      <c r="A63" s="9" t="s">
        <v>1</v>
      </c>
      <c r="B63" s="10" t="s">
        <v>18</v>
      </c>
      <c r="C63" s="10" t="s">
        <v>19</v>
      </c>
      <c r="D63" s="10" t="s">
        <v>135</v>
      </c>
      <c r="E63" s="10" t="s">
        <v>136</v>
      </c>
      <c r="F63" s="11" t="s">
        <v>22</v>
      </c>
      <c r="G63" s="11" t="e">
        <f aca="false">VLOOKUP(D63,'DATABASE RO'!$B$3:$M$299,4,0)</f>
        <v>#N/A</v>
      </c>
      <c r="H63" s="11" t="e">
        <f aca="false">VLOOKUP(D63,'DATABASE RO'!$B$3:$M$299,5,0)</f>
        <v>#N/A</v>
      </c>
      <c r="I63" s="11" t="e">
        <f aca="false">VLOOKUP(D63,'DATABASE RO'!$B$3:$M$299,6,0)</f>
        <v>#N/A</v>
      </c>
      <c r="J63" s="11" t="e">
        <f aca="false">VLOOKUP(D63,'DATABASE RO'!$B$3:$M$299,7,0)</f>
        <v>#N/A</v>
      </c>
      <c r="K63" s="11" t="e">
        <f aca="false">VLOOKUP(D63,'DATABASE RO'!$B$3:$M$299,8,0)</f>
        <v>#N/A</v>
      </c>
      <c r="L63" s="11" t="e">
        <f aca="false">VLOOKUP(D63,'DATABASE RO'!$B$3:$M$299,9,0)</f>
        <v>#N/A</v>
      </c>
      <c r="M63" s="11" t="e">
        <f aca="false">VLOOKUP(D63,'DATABASE RO'!$B$3:$M$299,10,0)</f>
        <v>#N/A</v>
      </c>
      <c r="N63" s="11"/>
      <c r="O63" s="11" t="e">
        <f aca="false">VLOOKUP(D63,'DATABASE RO'!$B$3:$M$299,12,0)</f>
        <v>#N/A</v>
      </c>
      <c r="P63" s="11"/>
      <c r="S63" s="9" t="str">
        <f aca="false">B63</f>
        <v>P2</v>
      </c>
      <c r="T63" s="9" t="str">
        <f aca="false">C63</f>
        <v>KENDAL</v>
      </c>
      <c r="U63" s="9" t="str">
        <f aca="false">D63</f>
        <v>1063120260105360</v>
      </c>
      <c r="V63" s="9" t="str">
        <f aca="false">E63</f>
        <v>SRI WIDANINGSIH</v>
      </c>
      <c r="W63" s="10"/>
      <c r="X63" s="11" t="e">
        <f aca="false">VLOOKUP(V63,'DATABASE RO'!$C$3:$M$185,3,0)</f>
        <v>#N/A</v>
      </c>
      <c r="Y63" s="11" t="e">
        <f aca="false">VLOOKUP(V63,'DATABASE RO'!$C$3:$M$185,4,0)</f>
        <v>#N/A</v>
      </c>
      <c r="Z63" s="11" t="e">
        <f aca="false">VLOOKUP(V63,'DATABASE RO'!$C$3:$M$185,5,0)</f>
        <v>#N/A</v>
      </c>
      <c r="AA63" s="11" t="e">
        <f aca="false">VLOOKUP(V63,'DATABASE RO'!$C$3:$M$185,6,0)</f>
        <v>#N/A</v>
      </c>
      <c r="AB63" s="11" t="e">
        <f aca="false">VLOOKUP(V63,'DATABASE RO'!$C$3:$M$185,7,0)</f>
        <v>#N/A</v>
      </c>
      <c r="AC63" s="11" t="e">
        <f aca="false">VLOOKUP(V63,'DATABASE RO'!$C$3:$M$185,8,0)</f>
        <v>#N/A</v>
      </c>
      <c r="AD63" s="11" t="e">
        <f aca="false">VLOOKUP(V63,'DATABASE RO'!$C$3:$M$185,9,0)</f>
        <v>#N/A</v>
      </c>
      <c r="AE63" s="11"/>
      <c r="AF63" s="11" t="e">
        <f aca="false">VLOOKUP(V63,'DATABASE RO'!$C$3:$M$185,11,0)</f>
        <v>#N/A</v>
      </c>
      <c r="AG63" s="11"/>
      <c r="AJ63" s="9" t="s">
        <v>1</v>
      </c>
      <c r="AK63" s="10" t="str">
        <f aca="false">B63</f>
        <v>P2</v>
      </c>
      <c r="AL63" s="10" t="str">
        <f aca="false">C63</f>
        <v>KENDAL</v>
      </c>
      <c r="AM63" s="10" t="str">
        <f aca="false">D63</f>
        <v>1063120260105360</v>
      </c>
      <c r="AN63" s="10" t="str">
        <f aca="false">E63</f>
        <v>SRI WIDANINGSIH</v>
      </c>
      <c r="AO63" s="10" t="str">
        <f aca="false">F63</f>
        <v>Konsumen Aktif M 0 - 6 Lunas</v>
      </c>
      <c r="AP63" s="11" t="e">
        <f aca="false">IFERROR(G63,X63)</f>
        <v>#N/A</v>
      </c>
      <c r="AQ63" s="11" t="e">
        <f aca="false">IFERROR(H63,Y63)</f>
        <v>#N/A</v>
      </c>
      <c r="AR63" s="11" t="e">
        <f aca="false">IFERROR(I63,Z63)</f>
        <v>#N/A</v>
      </c>
      <c r="AS63" s="11" t="e">
        <f aca="false">IFERROR(J63,AA63)</f>
        <v>#N/A</v>
      </c>
      <c r="AT63" s="11" t="e">
        <f aca="false">IFERROR(K63,AB63)</f>
        <v>#N/A</v>
      </c>
      <c r="AU63" s="11" t="e">
        <f aca="false">IFERROR(L63,AC63)</f>
        <v>#N/A</v>
      </c>
      <c r="AV63" s="11" t="e">
        <f aca="false">IFERROR(M63,AD63)</f>
        <v>#N/A</v>
      </c>
      <c r="AW63" s="11" t="n">
        <f aca="false">IFERROR(N63,AE63)</f>
        <v>0</v>
      </c>
      <c r="AX63" s="11" t="e">
        <f aca="false">IFERROR(O63,AF63)</f>
        <v>#N/A</v>
      </c>
    </row>
    <row r="64" customFormat="false" ht="15.75" hidden="false" customHeight="true" outlineLevel="0" collapsed="false">
      <c r="A64" s="9" t="s">
        <v>1</v>
      </c>
      <c r="B64" s="10" t="s">
        <v>18</v>
      </c>
      <c r="C64" s="10" t="s">
        <v>19</v>
      </c>
      <c r="D64" s="10" t="s">
        <v>137</v>
      </c>
      <c r="E64" s="10" t="s">
        <v>138</v>
      </c>
      <c r="F64" s="11" t="s">
        <v>22</v>
      </c>
      <c r="G64" s="11" t="e">
        <f aca="false">VLOOKUP(D64,'DATABASE RO'!$B$3:$M$299,4,0)</f>
        <v>#N/A</v>
      </c>
      <c r="H64" s="11" t="e">
        <f aca="false">VLOOKUP(D64,'DATABASE RO'!$B$3:$M$299,5,0)</f>
        <v>#N/A</v>
      </c>
      <c r="I64" s="11" t="e">
        <f aca="false">VLOOKUP(D64,'DATABASE RO'!$B$3:$M$299,6,0)</f>
        <v>#N/A</v>
      </c>
      <c r="J64" s="11" t="e">
        <f aca="false">VLOOKUP(D64,'DATABASE RO'!$B$3:$M$299,7,0)</f>
        <v>#N/A</v>
      </c>
      <c r="K64" s="11" t="e">
        <f aca="false">VLOOKUP(D64,'DATABASE RO'!$B$3:$M$299,8,0)</f>
        <v>#N/A</v>
      </c>
      <c r="L64" s="11" t="e">
        <f aca="false">VLOOKUP(D64,'DATABASE RO'!$B$3:$M$299,9,0)</f>
        <v>#N/A</v>
      </c>
      <c r="M64" s="11" t="e">
        <f aca="false">VLOOKUP(D64,'DATABASE RO'!$B$3:$M$299,10,0)</f>
        <v>#N/A</v>
      </c>
      <c r="N64" s="11"/>
      <c r="O64" s="11" t="e">
        <f aca="false">VLOOKUP(D64,'DATABASE RO'!$B$3:$M$299,12,0)</f>
        <v>#N/A</v>
      </c>
      <c r="P64" s="11"/>
      <c r="S64" s="9" t="str">
        <f aca="false">B64</f>
        <v>P2</v>
      </c>
      <c r="T64" s="9" t="str">
        <f aca="false">C64</f>
        <v>KENDAL</v>
      </c>
      <c r="U64" s="9" t="str">
        <f aca="false">D64</f>
        <v>1063120260105366</v>
      </c>
      <c r="V64" s="9" t="str">
        <f aca="false">E64</f>
        <v>KISYOTO HADIS</v>
      </c>
      <c r="W64" s="10"/>
      <c r="X64" s="11" t="e">
        <f aca="false">VLOOKUP(V64,'DATABASE RO'!$C$3:$M$185,3,0)</f>
        <v>#N/A</v>
      </c>
      <c r="Y64" s="11" t="e">
        <f aca="false">VLOOKUP(V64,'DATABASE RO'!$C$3:$M$185,4,0)</f>
        <v>#N/A</v>
      </c>
      <c r="Z64" s="11" t="e">
        <f aca="false">VLOOKUP(V64,'DATABASE RO'!$C$3:$M$185,5,0)</f>
        <v>#N/A</v>
      </c>
      <c r="AA64" s="11" t="e">
        <f aca="false">VLOOKUP(V64,'DATABASE RO'!$C$3:$M$185,6,0)</f>
        <v>#N/A</v>
      </c>
      <c r="AB64" s="11" t="e">
        <f aca="false">VLOOKUP(V64,'DATABASE RO'!$C$3:$M$185,7,0)</f>
        <v>#N/A</v>
      </c>
      <c r="AC64" s="11" t="e">
        <f aca="false">VLOOKUP(V64,'DATABASE RO'!$C$3:$M$185,8,0)</f>
        <v>#N/A</v>
      </c>
      <c r="AD64" s="11" t="e">
        <f aca="false">VLOOKUP(V64,'DATABASE RO'!$C$3:$M$185,9,0)</f>
        <v>#N/A</v>
      </c>
      <c r="AE64" s="11"/>
      <c r="AF64" s="11" t="e">
        <f aca="false">VLOOKUP(V64,'DATABASE RO'!$C$3:$M$185,11,0)</f>
        <v>#N/A</v>
      </c>
      <c r="AG64" s="11"/>
      <c r="AJ64" s="9" t="s">
        <v>1</v>
      </c>
      <c r="AK64" s="10" t="str">
        <f aca="false">B64</f>
        <v>P2</v>
      </c>
      <c r="AL64" s="10" t="str">
        <f aca="false">C64</f>
        <v>KENDAL</v>
      </c>
      <c r="AM64" s="10" t="str">
        <f aca="false">D64</f>
        <v>1063120260105366</v>
      </c>
      <c r="AN64" s="10" t="str">
        <f aca="false">E64</f>
        <v>KISYOTO HADIS</v>
      </c>
      <c r="AO64" s="10" t="str">
        <f aca="false">F64</f>
        <v>Konsumen Aktif M 0 - 6 Lunas</v>
      </c>
      <c r="AP64" s="11" t="e">
        <f aca="false">IFERROR(G64,X64)</f>
        <v>#N/A</v>
      </c>
      <c r="AQ64" s="11" t="e">
        <f aca="false">IFERROR(H64,Y64)</f>
        <v>#N/A</v>
      </c>
      <c r="AR64" s="11" t="e">
        <f aca="false">IFERROR(I64,Z64)</f>
        <v>#N/A</v>
      </c>
      <c r="AS64" s="11" t="e">
        <f aca="false">IFERROR(J64,AA64)</f>
        <v>#N/A</v>
      </c>
      <c r="AT64" s="11" t="e">
        <f aca="false">IFERROR(K64,AB64)</f>
        <v>#N/A</v>
      </c>
      <c r="AU64" s="11" t="e">
        <f aca="false">IFERROR(L64,AC64)</f>
        <v>#N/A</v>
      </c>
      <c r="AV64" s="11" t="e">
        <f aca="false">IFERROR(M64,AD64)</f>
        <v>#N/A</v>
      </c>
      <c r="AW64" s="11" t="n">
        <f aca="false">IFERROR(N64,AE64)</f>
        <v>0</v>
      </c>
      <c r="AX64" s="11" t="e">
        <f aca="false">IFERROR(O64,AF64)</f>
        <v>#N/A</v>
      </c>
    </row>
    <row r="65" customFormat="false" ht="15.75" hidden="false" customHeight="true" outlineLevel="0" collapsed="false">
      <c r="A65" s="9" t="s">
        <v>1</v>
      </c>
      <c r="B65" s="10" t="s">
        <v>18</v>
      </c>
      <c r="C65" s="10" t="s">
        <v>19</v>
      </c>
      <c r="D65" s="10" t="s">
        <v>139</v>
      </c>
      <c r="E65" s="10" t="s">
        <v>140</v>
      </c>
      <c r="F65" s="11" t="s">
        <v>22</v>
      </c>
      <c r="G65" s="11" t="e">
        <f aca="false">VLOOKUP(D65,'DATABASE RO'!$B$3:$M$299,4,0)</f>
        <v>#N/A</v>
      </c>
      <c r="H65" s="11" t="e">
        <f aca="false">VLOOKUP(D65,'DATABASE RO'!$B$3:$M$299,5,0)</f>
        <v>#N/A</v>
      </c>
      <c r="I65" s="11" t="e">
        <f aca="false">VLOOKUP(D65,'DATABASE RO'!$B$3:$M$299,6,0)</f>
        <v>#N/A</v>
      </c>
      <c r="J65" s="11" t="e">
        <f aca="false">VLOOKUP(D65,'DATABASE RO'!$B$3:$M$299,7,0)</f>
        <v>#N/A</v>
      </c>
      <c r="K65" s="11" t="e">
        <f aca="false">VLOOKUP(D65,'DATABASE RO'!$B$3:$M$299,8,0)</f>
        <v>#N/A</v>
      </c>
      <c r="L65" s="11" t="e">
        <f aca="false">VLOOKUP(D65,'DATABASE RO'!$B$3:$M$299,9,0)</f>
        <v>#N/A</v>
      </c>
      <c r="M65" s="11" t="e">
        <f aca="false">VLOOKUP(D65,'DATABASE RO'!$B$3:$M$299,10,0)</f>
        <v>#N/A</v>
      </c>
      <c r="N65" s="11"/>
      <c r="O65" s="11" t="e">
        <f aca="false">VLOOKUP(D65,'DATABASE RO'!$B$3:$M$299,12,0)</f>
        <v>#N/A</v>
      </c>
      <c r="P65" s="11"/>
      <c r="S65" s="9" t="str">
        <f aca="false">B65</f>
        <v>P2</v>
      </c>
      <c r="T65" s="9" t="str">
        <f aca="false">C65</f>
        <v>KENDAL</v>
      </c>
      <c r="U65" s="9" t="str">
        <f aca="false">D65</f>
        <v>1063120260205394</v>
      </c>
      <c r="V65" s="9" t="str">
        <f aca="false">E65</f>
        <v>TUTI GONDO MARTONO</v>
      </c>
      <c r="W65" s="10"/>
      <c r="X65" s="11" t="e">
        <f aca="false">VLOOKUP(V65,'DATABASE RO'!$C$3:$M$185,3,0)</f>
        <v>#N/A</v>
      </c>
      <c r="Y65" s="11" t="e">
        <f aca="false">VLOOKUP(V65,'DATABASE RO'!$C$3:$M$185,4,0)</f>
        <v>#N/A</v>
      </c>
      <c r="Z65" s="11" t="e">
        <f aca="false">VLOOKUP(V65,'DATABASE RO'!$C$3:$M$185,5,0)</f>
        <v>#N/A</v>
      </c>
      <c r="AA65" s="11" t="e">
        <f aca="false">VLOOKUP(V65,'DATABASE RO'!$C$3:$M$185,6,0)</f>
        <v>#N/A</v>
      </c>
      <c r="AB65" s="11" t="e">
        <f aca="false">VLOOKUP(V65,'DATABASE RO'!$C$3:$M$185,7,0)</f>
        <v>#N/A</v>
      </c>
      <c r="AC65" s="11" t="e">
        <f aca="false">VLOOKUP(V65,'DATABASE RO'!$C$3:$M$185,8,0)</f>
        <v>#N/A</v>
      </c>
      <c r="AD65" s="11" t="e">
        <f aca="false">VLOOKUP(V65,'DATABASE RO'!$C$3:$M$185,9,0)</f>
        <v>#N/A</v>
      </c>
      <c r="AE65" s="11"/>
      <c r="AF65" s="11" t="e">
        <f aca="false">VLOOKUP(V65,'DATABASE RO'!$C$3:$M$185,11,0)</f>
        <v>#N/A</v>
      </c>
      <c r="AG65" s="11"/>
      <c r="AJ65" s="9" t="s">
        <v>1</v>
      </c>
      <c r="AK65" s="10" t="str">
        <f aca="false">B65</f>
        <v>P2</v>
      </c>
      <c r="AL65" s="10" t="str">
        <f aca="false">C65</f>
        <v>KENDAL</v>
      </c>
      <c r="AM65" s="10" t="str">
        <f aca="false">D65</f>
        <v>1063120260205394</v>
      </c>
      <c r="AN65" s="10" t="str">
        <f aca="false">E65</f>
        <v>TUTI GONDO MARTONO</v>
      </c>
      <c r="AO65" s="10" t="str">
        <f aca="false">F65</f>
        <v>Konsumen Aktif M 0 - 6 Lunas</v>
      </c>
      <c r="AP65" s="11" t="e">
        <f aca="false">IFERROR(G65,X65)</f>
        <v>#N/A</v>
      </c>
      <c r="AQ65" s="11" t="e">
        <f aca="false">IFERROR(H65,Y65)</f>
        <v>#N/A</v>
      </c>
      <c r="AR65" s="11" t="e">
        <f aca="false">IFERROR(I65,Z65)</f>
        <v>#N/A</v>
      </c>
      <c r="AS65" s="11" t="e">
        <f aca="false">IFERROR(J65,AA65)</f>
        <v>#N/A</v>
      </c>
      <c r="AT65" s="11" t="e">
        <f aca="false">IFERROR(K65,AB65)</f>
        <v>#N/A</v>
      </c>
      <c r="AU65" s="11" t="e">
        <f aca="false">IFERROR(L65,AC65)</f>
        <v>#N/A</v>
      </c>
      <c r="AV65" s="11" t="e">
        <f aca="false">IFERROR(M65,AD65)</f>
        <v>#N/A</v>
      </c>
      <c r="AW65" s="11" t="n">
        <f aca="false">IFERROR(N65,AE65)</f>
        <v>0</v>
      </c>
      <c r="AX65" s="11" t="e">
        <f aca="false">IFERROR(O65,AF65)</f>
        <v>#N/A</v>
      </c>
    </row>
    <row r="66" customFormat="false" ht="15.75" hidden="false" customHeight="true" outlineLevel="0" collapsed="false">
      <c r="A66" s="9" t="s">
        <v>1</v>
      </c>
      <c r="B66" s="10" t="s">
        <v>18</v>
      </c>
      <c r="C66" s="10" t="s">
        <v>19</v>
      </c>
      <c r="D66" s="10" t="s">
        <v>141</v>
      </c>
      <c r="E66" s="10" t="s">
        <v>142</v>
      </c>
      <c r="F66" s="11" t="s">
        <v>22</v>
      </c>
      <c r="G66" s="11" t="e">
        <f aca="false">VLOOKUP(D66,'DATABASE RO'!$B$3:$M$299,4,0)</f>
        <v>#N/A</v>
      </c>
      <c r="H66" s="11" t="e">
        <f aca="false">VLOOKUP(D66,'DATABASE RO'!$B$3:$M$299,5,0)</f>
        <v>#N/A</v>
      </c>
      <c r="I66" s="11" t="e">
        <f aca="false">VLOOKUP(D66,'DATABASE RO'!$B$3:$M$299,6,0)</f>
        <v>#N/A</v>
      </c>
      <c r="J66" s="11" t="e">
        <f aca="false">VLOOKUP(D66,'DATABASE RO'!$B$3:$M$299,7,0)</f>
        <v>#N/A</v>
      </c>
      <c r="K66" s="11" t="e">
        <f aca="false">VLOOKUP(D66,'DATABASE RO'!$B$3:$M$299,8,0)</f>
        <v>#N/A</v>
      </c>
      <c r="L66" s="11" t="e">
        <f aca="false">VLOOKUP(D66,'DATABASE RO'!$B$3:$M$299,9,0)</f>
        <v>#N/A</v>
      </c>
      <c r="M66" s="11" t="e">
        <f aca="false">VLOOKUP(D66,'DATABASE RO'!$B$3:$M$299,10,0)</f>
        <v>#N/A</v>
      </c>
      <c r="N66" s="11"/>
      <c r="O66" s="11" t="e">
        <f aca="false">VLOOKUP(D66,'DATABASE RO'!$B$3:$M$299,12,0)</f>
        <v>#N/A</v>
      </c>
      <c r="P66" s="11"/>
      <c r="S66" s="9" t="str">
        <f aca="false">B66</f>
        <v>P2</v>
      </c>
      <c r="T66" s="9" t="str">
        <f aca="false">C66</f>
        <v>KENDAL</v>
      </c>
      <c r="U66" s="9" t="str">
        <f aca="false">D66</f>
        <v>1063120260205399</v>
      </c>
      <c r="V66" s="9" t="str">
        <f aca="false">E66</f>
        <v>SUTOMO</v>
      </c>
      <c r="W66" s="10"/>
      <c r="X66" s="11" t="str">
        <f aca="false">VLOOKUP(V66,'DATABASE RO'!$C$3:$M$185,3,0)</f>
        <v>P19002008564</v>
      </c>
      <c r="Y66" s="11" t="str">
        <f aca="false">VLOOKUP(V66,'DATABASE RO'!$C$3:$M$185,4,0)</f>
        <v>NO</v>
      </c>
      <c r="Z66" s="11" t="str">
        <f aca="false">VLOOKUP(V66,'DATABASE RO'!$C$3:$M$185,5,0)</f>
        <v>KP. KEMANTENAN RT 004 /RW 007, Kutoharjo, Kaliwungu, KAB-Kendal, 51372</v>
      </c>
      <c r="AA66" s="11" t="str">
        <f aca="false">VLOOKUP(V66,'DATABASE RO'!$C$3:$M$185,6,0)</f>
        <v>KUTOHARJO</v>
      </c>
      <c r="AB66" s="11" t="str">
        <f aca="false">VLOOKUP(V66,'DATABASE RO'!$C$3:$M$185,7,0)</f>
        <v>Kaliwungu</v>
      </c>
      <c r="AC66" s="11" t="str">
        <f aca="false">VLOOKUP(V66,'DATABASE RO'!$C$3:$M$185,8,0)</f>
        <v>https://www.google.com/maps?z=12&amp;t=m&amp;q=loc:-6.959046+110.260026</v>
      </c>
      <c r="AD66" s="11" t="str">
        <f aca="false">VLOOKUP(V66,'DATABASE RO'!$C$3:$M$185,9,0)</f>
        <v>GOOD</v>
      </c>
      <c r="AE66" s="11"/>
      <c r="AF66" s="11" t="str">
        <f aca="false">VLOOKUP(V66,'DATABASE RO'!$C$3:$M$185,11,0)</f>
        <v>0895692242590</v>
      </c>
      <c r="AG66" s="11"/>
      <c r="AJ66" s="9" t="s">
        <v>1</v>
      </c>
      <c r="AK66" s="10" t="str">
        <f aca="false">B66</f>
        <v>P2</v>
      </c>
      <c r="AL66" s="10" t="str">
        <f aca="false">C66</f>
        <v>KENDAL</v>
      </c>
      <c r="AM66" s="10" t="str">
        <f aca="false">D66</f>
        <v>1063120260205399</v>
      </c>
      <c r="AN66" s="10" t="str">
        <f aca="false">E66</f>
        <v>SUTOMO</v>
      </c>
      <c r="AO66" s="10" t="str">
        <f aca="false">F66</f>
        <v>Konsumen Aktif M 0 - 6 Lunas</v>
      </c>
      <c r="AP66" s="11" t="str">
        <f aca="false">IFERROR(G66,X66)</f>
        <v>P19002008564</v>
      </c>
      <c r="AQ66" s="11" t="str">
        <f aca="false">IFERROR(H66,Y66)</f>
        <v>NO</v>
      </c>
      <c r="AR66" s="11" t="str">
        <f aca="false">IFERROR(I66,Z66)</f>
        <v>KP. KEMANTENAN RT 004 /RW 007, Kutoharjo, Kaliwungu, KAB-Kendal, 51372</v>
      </c>
      <c r="AS66" s="11" t="str">
        <f aca="false">IFERROR(J66,AA66)</f>
        <v>KUTOHARJO</v>
      </c>
      <c r="AT66" s="11" t="str">
        <f aca="false">IFERROR(K66,AB66)</f>
        <v>Kaliwungu</v>
      </c>
      <c r="AU66" s="11" t="str">
        <f aca="false">IFERROR(L66,AC66)</f>
        <v>https://www.google.com/maps?z=12&amp;t=m&amp;q=loc:-6.959046+110.260026</v>
      </c>
      <c r="AV66" s="11" t="str">
        <f aca="false">IFERROR(M66,AD66)</f>
        <v>GOOD</v>
      </c>
      <c r="AW66" s="11" t="n">
        <f aca="false">IFERROR(N66,AE66)</f>
        <v>0</v>
      </c>
      <c r="AX66" s="11" t="str">
        <f aca="false">IFERROR(O66,AF66)</f>
        <v>0895692242590</v>
      </c>
    </row>
    <row r="67" customFormat="false" ht="15.75" hidden="false" customHeight="true" outlineLevel="0" collapsed="false">
      <c r="A67" s="9" t="s">
        <v>1</v>
      </c>
      <c r="B67" s="10" t="s">
        <v>18</v>
      </c>
      <c r="C67" s="10" t="s">
        <v>19</v>
      </c>
      <c r="D67" s="10" t="s">
        <v>143</v>
      </c>
      <c r="E67" s="10" t="s">
        <v>144</v>
      </c>
      <c r="F67" s="11" t="s">
        <v>22</v>
      </c>
      <c r="G67" s="11" t="e">
        <f aca="false">VLOOKUP(D67,'DATABASE RO'!$B$3:$M$299,4,0)</f>
        <v>#N/A</v>
      </c>
      <c r="H67" s="11" t="e">
        <f aca="false">VLOOKUP(D67,'DATABASE RO'!$B$3:$M$299,5,0)</f>
        <v>#N/A</v>
      </c>
      <c r="I67" s="11" t="e">
        <f aca="false">VLOOKUP(D67,'DATABASE RO'!$B$3:$M$299,6,0)</f>
        <v>#N/A</v>
      </c>
      <c r="J67" s="11" t="e">
        <f aca="false">VLOOKUP(D67,'DATABASE RO'!$B$3:$M$299,7,0)</f>
        <v>#N/A</v>
      </c>
      <c r="K67" s="11" t="e">
        <f aca="false">VLOOKUP(D67,'DATABASE RO'!$B$3:$M$299,8,0)</f>
        <v>#N/A</v>
      </c>
      <c r="L67" s="11" t="e">
        <f aca="false">VLOOKUP(D67,'DATABASE RO'!$B$3:$M$299,9,0)</f>
        <v>#N/A</v>
      </c>
      <c r="M67" s="11" t="e">
        <f aca="false">VLOOKUP(D67,'DATABASE RO'!$B$3:$M$299,10,0)</f>
        <v>#N/A</v>
      </c>
      <c r="N67" s="11"/>
      <c r="O67" s="11" t="e">
        <f aca="false">VLOOKUP(D67,'DATABASE RO'!$B$3:$M$299,12,0)</f>
        <v>#N/A</v>
      </c>
      <c r="P67" s="11"/>
      <c r="S67" s="9" t="str">
        <f aca="false">B67</f>
        <v>P2</v>
      </c>
      <c r="T67" s="9" t="str">
        <f aca="false">C67</f>
        <v>KENDAL</v>
      </c>
      <c r="U67" s="9" t="str">
        <f aca="false">D67</f>
        <v>1577120241004913</v>
      </c>
      <c r="V67" s="9" t="str">
        <f aca="false">E67</f>
        <v>Zamahsari</v>
      </c>
      <c r="W67" s="10"/>
      <c r="X67" s="11" t="str">
        <f aca="false">VLOOKUP(V67,'DATABASE RO'!$C$3:$M$185,3,0)</f>
        <v>CUS589120200300570</v>
      </c>
      <c r="Y67" s="11" t="str">
        <f aca="false">VLOOKUP(V67,'DATABASE RO'!$C$3:$M$185,4,0)</f>
        <v>YES</v>
      </c>
      <c r="Z67" s="11" t="str">
        <f aca="false">VLOOKUP(V67,'DATABASE RO'!$C$3:$M$185,5,0)</f>
        <v>DK. DLISEN RT 004 /RW 001, Dlisen, Limpung, KAB-Batang, 51271</v>
      </c>
      <c r="AA67" s="11" t="str">
        <f aca="false">VLOOKUP(V67,'DATABASE RO'!$C$3:$M$185,6,0)</f>
        <v>DLISEN</v>
      </c>
      <c r="AB67" s="11" t="str">
        <f aca="false">VLOOKUP(V67,'DATABASE RO'!$C$3:$M$185,7,0)</f>
        <v>LIMPUNG</v>
      </c>
      <c r="AC67" s="11" t="str">
        <f aca="false">VLOOKUP(V67,'DATABASE RO'!$C$3:$M$185,8,0)</f>
        <v>https://www.google.com/maps?z=12&amp;t=m&amp;q=loc:-7.005355+109.942639</v>
      </c>
      <c r="AD67" s="11" t="str">
        <f aca="false">VLOOKUP(V67,'DATABASE RO'!$C$3:$M$185,9,0)</f>
        <v>GOOD</v>
      </c>
      <c r="AE67" s="11"/>
      <c r="AF67" s="11" t="n">
        <f aca="false">VLOOKUP(V67,'DATABASE RO'!$C$3:$M$185,11,0)</f>
        <v>85219345280</v>
      </c>
      <c r="AG67" s="11"/>
      <c r="AJ67" s="9" t="s">
        <v>1</v>
      </c>
      <c r="AK67" s="10" t="str">
        <f aca="false">B67</f>
        <v>P2</v>
      </c>
      <c r="AL67" s="10" t="str">
        <f aca="false">C67</f>
        <v>KENDAL</v>
      </c>
      <c r="AM67" s="10" t="str">
        <f aca="false">D67</f>
        <v>1577120241004913</v>
      </c>
      <c r="AN67" s="10" t="str">
        <f aca="false">E67</f>
        <v>Zamahsari</v>
      </c>
      <c r="AO67" s="10" t="str">
        <f aca="false">F67</f>
        <v>Konsumen Aktif M 0 - 6 Lunas</v>
      </c>
      <c r="AP67" s="11" t="str">
        <f aca="false">IFERROR(G67,X67)</f>
        <v>CUS589120200300570</v>
      </c>
      <c r="AQ67" s="11" t="str">
        <f aca="false">IFERROR(H67,Y67)</f>
        <v>YES</v>
      </c>
      <c r="AR67" s="11" t="str">
        <f aca="false">IFERROR(I67,Z67)</f>
        <v>DK. DLISEN RT 004 /RW 001, Dlisen, Limpung, KAB-Batang, 51271</v>
      </c>
      <c r="AS67" s="11" t="str">
        <f aca="false">IFERROR(J67,AA67)</f>
        <v>DLISEN</v>
      </c>
      <c r="AT67" s="11" t="str">
        <f aca="false">IFERROR(K67,AB67)</f>
        <v>LIMPUNG</v>
      </c>
      <c r="AU67" s="11" t="str">
        <f aca="false">IFERROR(L67,AC67)</f>
        <v>https://www.google.com/maps?z=12&amp;t=m&amp;q=loc:-7.005355+109.942639</v>
      </c>
      <c r="AV67" s="11" t="str">
        <f aca="false">IFERROR(M67,AD67)</f>
        <v>GOOD</v>
      </c>
      <c r="AW67" s="11" t="n">
        <f aca="false">IFERROR(N67,AE67)</f>
        <v>0</v>
      </c>
      <c r="AX67" s="11" t="n">
        <f aca="false">IFERROR(O67,AF67)</f>
        <v>85219345280</v>
      </c>
    </row>
    <row r="68" customFormat="false" ht="15.75" hidden="false" customHeight="true" outlineLevel="0" collapsed="false">
      <c r="A68" s="9" t="s">
        <v>1</v>
      </c>
      <c r="B68" s="10" t="s">
        <v>18</v>
      </c>
      <c r="C68" s="10" t="s">
        <v>19</v>
      </c>
      <c r="D68" s="10" t="s">
        <v>145</v>
      </c>
      <c r="E68" s="10" t="s">
        <v>146</v>
      </c>
      <c r="F68" s="11" t="s">
        <v>22</v>
      </c>
      <c r="G68" s="11" t="e">
        <f aca="false">VLOOKUP(D68,'DATABASE RO'!$B$3:$M$299,4,0)</f>
        <v>#N/A</v>
      </c>
      <c r="H68" s="11" t="e">
        <f aca="false">VLOOKUP(D68,'DATABASE RO'!$B$3:$M$299,5,0)</f>
        <v>#N/A</v>
      </c>
      <c r="I68" s="11" t="e">
        <f aca="false">VLOOKUP(D68,'DATABASE RO'!$B$3:$M$299,6,0)</f>
        <v>#N/A</v>
      </c>
      <c r="J68" s="11" t="e">
        <f aca="false">VLOOKUP(D68,'DATABASE RO'!$B$3:$M$299,7,0)</f>
        <v>#N/A</v>
      </c>
      <c r="K68" s="11" t="e">
        <f aca="false">VLOOKUP(D68,'DATABASE RO'!$B$3:$M$299,8,0)</f>
        <v>#N/A</v>
      </c>
      <c r="L68" s="11" t="e">
        <f aca="false">VLOOKUP(D68,'DATABASE RO'!$B$3:$M$299,9,0)</f>
        <v>#N/A</v>
      </c>
      <c r="M68" s="11" t="e">
        <f aca="false">VLOOKUP(D68,'DATABASE RO'!$B$3:$M$299,10,0)</f>
        <v>#N/A</v>
      </c>
      <c r="N68" s="11"/>
      <c r="O68" s="11" t="e">
        <f aca="false">VLOOKUP(D68,'DATABASE RO'!$B$3:$M$299,12,0)</f>
        <v>#N/A</v>
      </c>
      <c r="P68" s="11"/>
      <c r="S68" s="9" t="str">
        <f aca="false">B68</f>
        <v>P2</v>
      </c>
      <c r="T68" s="9" t="str">
        <f aca="false">C68</f>
        <v>KENDAL</v>
      </c>
      <c r="U68" s="9" t="str">
        <f aca="false">D68</f>
        <v>1641120250806460</v>
      </c>
      <c r="V68" s="9" t="str">
        <f aca="false">E68</f>
        <v>WAHYU FITA ERNAWATI</v>
      </c>
      <c r="W68" s="10"/>
      <c r="X68" s="11" t="e">
        <f aca="false">VLOOKUP(V68,'DATABASE RO'!$C$3:$M$185,3,0)</f>
        <v>#N/A</v>
      </c>
      <c r="Y68" s="11" t="e">
        <f aca="false">VLOOKUP(V68,'DATABASE RO'!$C$3:$M$185,4,0)</f>
        <v>#N/A</v>
      </c>
      <c r="Z68" s="11" t="e">
        <f aca="false">VLOOKUP(V68,'DATABASE RO'!$C$3:$M$185,5,0)</f>
        <v>#N/A</v>
      </c>
      <c r="AA68" s="11" t="e">
        <f aca="false">VLOOKUP(V68,'DATABASE RO'!$C$3:$M$185,6,0)</f>
        <v>#N/A</v>
      </c>
      <c r="AB68" s="11" t="e">
        <f aca="false">VLOOKUP(V68,'DATABASE RO'!$C$3:$M$185,7,0)</f>
        <v>#N/A</v>
      </c>
      <c r="AC68" s="11" t="e">
        <f aca="false">VLOOKUP(V68,'DATABASE RO'!$C$3:$M$185,8,0)</f>
        <v>#N/A</v>
      </c>
      <c r="AD68" s="11" t="e">
        <f aca="false">VLOOKUP(V68,'DATABASE RO'!$C$3:$M$185,9,0)</f>
        <v>#N/A</v>
      </c>
      <c r="AE68" s="11"/>
      <c r="AF68" s="11" t="e">
        <f aca="false">VLOOKUP(V68,'DATABASE RO'!$C$3:$M$185,11,0)</f>
        <v>#N/A</v>
      </c>
      <c r="AG68" s="11"/>
      <c r="AJ68" s="9" t="s">
        <v>1</v>
      </c>
      <c r="AK68" s="10" t="str">
        <f aca="false">B68</f>
        <v>P2</v>
      </c>
      <c r="AL68" s="10" t="str">
        <f aca="false">C68</f>
        <v>KENDAL</v>
      </c>
      <c r="AM68" s="10" t="str">
        <f aca="false">D68</f>
        <v>1641120250806460</v>
      </c>
      <c r="AN68" s="10" t="str">
        <f aca="false">E68</f>
        <v>WAHYU FITA ERNAWATI</v>
      </c>
      <c r="AO68" s="10" t="str">
        <f aca="false">F68</f>
        <v>Konsumen Aktif M 0 - 6 Lunas</v>
      </c>
      <c r="AP68" s="11" t="e">
        <f aca="false">IFERROR(G68,X68)</f>
        <v>#N/A</v>
      </c>
      <c r="AQ68" s="11" t="e">
        <f aca="false">IFERROR(H68,Y68)</f>
        <v>#N/A</v>
      </c>
      <c r="AR68" s="11" t="e">
        <f aca="false">IFERROR(I68,Z68)</f>
        <v>#N/A</v>
      </c>
      <c r="AS68" s="11" t="e">
        <f aca="false">IFERROR(J68,AA68)</f>
        <v>#N/A</v>
      </c>
      <c r="AT68" s="11" t="e">
        <f aca="false">IFERROR(K68,AB68)</f>
        <v>#N/A</v>
      </c>
      <c r="AU68" s="11" t="e">
        <f aca="false">IFERROR(L68,AC68)</f>
        <v>#N/A</v>
      </c>
      <c r="AV68" s="11" t="e">
        <f aca="false">IFERROR(M68,AD68)</f>
        <v>#N/A</v>
      </c>
      <c r="AW68" s="11" t="n">
        <f aca="false">IFERROR(N68,AE68)</f>
        <v>0</v>
      </c>
      <c r="AX68" s="11" t="e">
        <f aca="false">IFERROR(O68,AF68)</f>
        <v>#N/A</v>
      </c>
    </row>
    <row r="69" customFormat="false" ht="15.75" hidden="false" customHeight="true" outlineLevel="0" collapsed="false">
      <c r="A69" s="10"/>
      <c r="B69" s="10" t="s">
        <v>18</v>
      </c>
      <c r="C69" s="10" t="s">
        <v>19</v>
      </c>
      <c r="D69" s="10" t="s">
        <v>147</v>
      </c>
      <c r="E69" s="10" t="s">
        <v>148</v>
      </c>
      <c r="F69" s="11" t="s">
        <v>22</v>
      </c>
      <c r="G69" s="11" t="str">
        <f aca="false">VLOOKUP(D69,'DATABASE RO'!$B$3:$M$299,4,0)</f>
        <v>CUS684120241200472</v>
      </c>
      <c r="H69" s="11" t="str">
        <f aca="false">VLOOKUP(D69,'DATABASE RO'!$B$3:$M$299,5,0)</f>
        <v>YES</v>
      </c>
      <c r="I69" s="11" t="str">
        <f aca="false">VLOOKUP(D69,'DATABASE RO'!$B$3:$M$299,6,0)</f>
        <v>MANGIR RT 002 /RW 004, Nolokerto, Kaliwungu, KAB-Kendal, 51372</v>
      </c>
      <c r="J69" s="11" t="str">
        <f aca="false">VLOOKUP(D69,'DATABASE RO'!$B$3:$M$299,7,0)</f>
        <v>NOLOKERTO</v>
      </c>
      <c r="K69" s="11" t="str">
        <f aca="false">VLOOKUP(D69,'DATABASE RO'!$B$3:$M$299,8,0)</f>
        <v>Kaliwungu</v>
      </c>
      <c r="L69" s="11" t="str">
        <f aca="false">VLOOKUP(D69,'DATABASE RO'!$B$3:$M$299,9,0)</f>
        <v>https://www.google.com/maps?z=12&amp;t=m&amp;q=loc:-6.971176+110.265561</v>
      </c>
      <c r="M69" s="11" t="str">
        <f aca="false">VLOOKUP(D69,'DATABASE RO'!$B$3:$M$299,10,0)</f>
        <v>EXCELLENT</v>
      </c>
      <c r="N69" s="11"/>
      <c r="O69" s="11" t="n">
        <f aca="false">VLOOKUP(D69,'DATABASE RO'!$B$3:$M$299,12,0)</f>
        <v>85878014014</v>
      </c>
      <c r="P69" s="11"/>
      <c r="S69" s="9" t="str">
        <f aca="false">B69</f>
        <v>P2</v>
      </c>
      <c r="T69" s="9" t="str">
        <f aca="false">C69</f>
        <v>KENDAL</v>
      </c>
      <c r="U69" s="9" t="str">
        <f aca="false">D69</f>
        <v>1684120241200196</v>
      </c>
      <c r="V69" s="9" t="str">
        <f aca="false">E69</f>
        <v>LINDA PUSPITA</v>
      </c>
      <c r="W69" s="10"/>
      <c r="X69" s="11" t="str">
        <f aca="false">VLOOKUP(V69,'DATABASE RO'!$C$3:$M$185,3,0)</f>
        <v>CUS684120241200472</v>
      </c>
      <c r="Y69" s="11" t="str">
        <f aca="false">VLOOKUP(V69,'DATABASE RO'!$C$3:$M$185,4,0)</f>
        <v>YES</v>
      </c>
      <c r="Z69" s="11" t="str">
        <f aca="false">VLOOKUP(V69,'DATABASE RO'!$C$3:$M$185,5,0)</f>
        <v>MANGIR RT 002 /RW 004, Nolokerto, Kaliwungu, KAB-Kendal, 51372</v>
      </c>
      <c r="AA69" s="11" t="str">
        <f aca="false">VLOOKUP(V69,'DATABASE RO'!$C$3:$M$185,6,0)</f>
        <v>NOLOKERTO</v>
      </c>
      <c r="AB69" s="11" t="str">
        <f aca="false">VLOOKUP(V69,'DATABASE RO'!$C$3:$M$185,7,0)</f>
        <v>Kaliwungu</v>
      </c>
      <c r="AC69" s="11" t="str">
        <f aca="false">VLOOKUP(V69,'DATABASE RO'!$C$3:$M$185,8,0)</f>
        <v>https://www.google.com/maps?z=12&amp;t=m&amp;q=loc:-6.971176+110.265561</v>
      </c>
      <c r="AD69" s="11" t="str">
        <f aca="false">VLOOKUP(V69,'DATABASE RO'!$C$3:$M$185,9,0)</f>
        <v>EXCELLENT</v>
      </c>
      <c r="AE69" s="11"/>
      <c r="AF69" s="11" t="n">
        <f aca="false">VLOOKUP(V69,'DATABASE RO'!$C$3:$M$185,11,0)</f>
        <v>85878014014</v>
      </c>
      <c r="AG69" s="11"/>
      <c r="AJ69" s="10"/>
      <c r="AK69" s="10" t="str">
        <f aca="false">B69</f>
        <v>P2</v>
      </c>
      <c r="AL69" s="10" t="str">
        <f aca="false">C69</f>
        <v>KENDAL</v>
      </c>
      <c r="AM69" s="10" t="str">
        <f aca="false">D69</f>
        <v>1684120241200196</v>
      </c>
      <c r="AN69" s="10" t="str">
        <f aca="false">E69</f>
        <v>LINDA PUSPITA</v>
      </c>
      <c r="AO69" s="10" t="str">
        <f aca="false">F69</f>
        <v>Konsumen Aktif M 0 - 6 Lunas</v>
      </c>
      <c r="AP69" s="11" t="str">
        <f aca="false">IFERROR(G69,X69)</f>
        <v>CUS684120241200472</v>
      </c>
      <c r="AQ69" s="11" t="str">
        <f aca="false">IFERROR(H69,Y69)</f>
        <v>YES</v>
      </c>
      <c r="AR69" s="11" t="str">
        <f aca="false">IFERROR(I69,Z69)</f>
        <v>MANGIR RT 002 /RW 004, Nolokerto, Kaliwungu, KAB-Kendal, 51372</v>
      </c>
      <c r="AS69" s="11" t="str">
        <f aca="false">IFERROR(J69,AA69)</f>
        <v>NOLOKERTO</v>
      </c>
      <c r="AT69" s="11" t="str">
        <f aca="false">IFERROR(K69,AB69)</f>
        <v>Kaliwungu</v>
      </c>
      <c r="AU69" s="11" t="str">
        <f aca="false">IFERROR(L69,AC69)</f>
        <v>https://www.google.com/maps?z=12&amp;t=m&amp;q=loc:-6.971176+110.265561</v>
      </c>
      <c r="AV69" s="11" t="str">
        <f aca="false">IFERROR(M69,AD69)</f>
        <v>EXCELLENT</v>
      </c>
      <c r="AW69" s="11" t="n">
        <f aca="false">IFERROR(N69,AE69)</f>
        <v>0</v>
      </c>
      <c r="AX69" s="11" t="n">
        <f aca="false">IFERROR(O69,AF69)</f>
        <v>85878014014</v>
      </c>
    </row>
    <row r="70" customFormat="false" ht="15.75" hidden="false" customHeight="true" outlineLevel="0" collapsed="false">
      <c r="A70" s="10"/>
      <c r="B70" s="10" t="s">
        <v>149</v>
      </c>
      <c r="C70" s="10" t="s">
        <v>19</v>
      </c>
      <c r="D70" s="10" t="s">
        <v>150</v>
      </c>
      <c r="E70" s="10" t="s">
        <v>151</v>
      </c>
      <c r="F70" s="11" t="s">
        <v>152</v>
      </c>
      <c r="G70" s="11" t="str">
        <f aca="false">VLOOKUP(D70,'DATABASE RO'!$B$3:$M$299,4,0)</f>
        <v>P19002019399</v>
      </c>
      <c r="H70" s="11" t="str">
        <f aca="false">VLOOKUP(D70,'DATABASE RO'!$B$3:$M$299,5,0)</f>
        <v>YES</v>
      </c>
      <c r="I70" s="11" t="str">
        <f aca="false">VLOOKUP(D70,'DATABASE RO'!$B$3:$M$299,6,0)</f>
        <v>JL.MADUKORO NO.22, 003, 010, Purwokerto, Patebon, KAB-Kendal, 51351</v>
      </c>
      <c r="J70" s="11" t="str">
        <f aca="false">VLOOKUP(D70,'DATABASE RO'!$B$3:$M$299,7,0)</f>
        <v>Purwokerto</v>
      </c>
      <c r="K70" s="11" t="str">
        <f aca="false">VLOOKUP(D70,'DATABASE RO'!$B$3:$M$299,8,0)</f>
        <v>PATEBON</v>
      </c>
      <c r="L70" s="11" t="str">
        <f aca="false">VLOOKUP(D70,'DATABASE RO'!$B$3:$M$299,9,0)</f>
        <v>https://www.google.com/maps?z=12&amp;t=m&amp;q=loc:-6.927785+110.183065</v>
      </c>
      <c r="M70" s="11" t="str">
        <f aca="false">VLOOKUP(D70,'DATABASE RO'!$B$3:$M$299,10,0)</f>
        <v>GOOD</v>
      </c>
      <c r="N70" s="11"/>
      <c r="O70" s="11" t="n">
        <f aca="false">VLOOKUP(D70,'DATABASE RO'!$B$3:$M$299,12,0)</f>
        <v>81393112233</v>
      </c>
      <c r="P70" s="11"/>
      <c r="S70" s="9" t="str">
        <f aca="false">B70</f>
        <v>P3</v>
      </c>
      <c r="T70" s="9" t="str">
        <f aca="false">C70</f>
        <v>KENDAL</v>
      </c>
      <c r="U70" s="9" t="str">
        <f aca="false">D70</f>
        <v>1063120240104437</v>
      </c>
      <c r="V70" s="9" t="str">
        <f aca="false">E70</f>
        <v>ICHWAN SETIAWAN</v>
      </c>
      <c r="W70" s="10"/>
      <c r="X70" s="11" t="str">
        <f aca="false">VLOOKUP(V70,'DATABASE RO'!$C$3:$M$185,3,0)</f>
        <v>P19002019399</v>
      </c>
      <c r="Y70" s="11" t="str">
        <f aca="false">VLOOKUP(V70,'DATABASE RO'!$C$3:$M$185,4,0)</f>
        <v>YES</v>
      </c>
      <c r="Z70" s="11" t="str">
        <f aca="false">VLOOKUP(V70,'DATABASE RO'!$C$3:$M$185,5,0)</f>
        <v>JL.MADUKORO NO.22, 003, 010, Purwokerto, Patebon, KAB-Kendal, 51351</v>
      </c>
      <c r="AA70" s="11" t="str">
        <f aca="false">VLOOKUP(V70,'DATABASE RO'!$C$3:$M$185,6,0)</f>
        <v>Purwokerto</v>
      </c>
      <c r="AB70" s="11" t="str">
        <f aca="false">VLOOKUP(V70,'DATABASE RO'!$C$3:$M$185,7,0)</f>
        <v>PATEBON</v>
      </c>
      <c r="AC70" s="11" t="str">
        <f aca="false">VLOOKUP(V70,'DATABASE RO'!$C$3:$M$185,8,0)</f>
        <v>https://www.google.com/maps?z=12&amp;t=m&amp;q=loc:-6.927785+110.183065</v>
      </c>
      <c r="AD70" s="11" t="str">
        <f aca="false">VLOOKUP(V70,'DATABASE RO'!$C$3:$M$185,9,0)</f>
        <v>GOOD</v>
      </c>
      <c r="AE70" s="11"/>
      <c r="AF70" s="11" t="n">
        <f aca="false">VLOOKUP(V70,'DATABASE RO'!$C$3:$M$185,11,0)</f>
        <v>81393112233</v>
      </c>
      <c r="AG70" s="11"/>
      <c r="AJ70" s="10"/>
      <c r="AK70" s="10" t="str">
        <f aca="false">B70</f>
        <v>P3</v>
      </c>
      <c r="AL70" s="10" t="str">
        <f aca="false">C70</f>
        <v>KENDAL</v>
      </c>
      <c r="AM70" s="10" t="str">
        <f aca="false">D70</f>
        <v>1063120240104437</v>
      </c>
      <c r="AN70" s="10" t="str">
        <f aca="false">E70</f>
        <v>ICHWAN SETIAWAN</v>
      </c>
      <c r="AO70" s="10" t="str">
        <f aca="false">F70</f>
        <v>Uncontacted Telesales</v>
      </c>
      <c r="AP70" s="11" t="str">
        <f aca="false">IFERROR(G70,X70)</f>
        <v>P19002019399</v>
      </c>
      <c r="AQ70" s="11" t="str">
        <f aca="false">IFERROR(H70,Y70)</f>
        <v>YES</v>
      </c>
      <c r="AR70" s="11" t="str">
        <f aca="false">IFERROR(I70,Z70)</f>
        <v>JL.MADUKORO NO.22, 003, 010, Purwokerto, Patebon, KAB-Kendal, 51351</v>
      </c>
      <c r="AS70" s="11" t="str">
        <f aca="false">IFERROR(J70,AA70)</f>
        <v>Purwokerto</v>
      </c>
      <c r="AT70" s="11" t="str">
        <f aca="false">IFERROR(K70,AB70)</f>
        <v>PATEBON</v>
      </c>
      <c r="AU70" s="11" t="str">
        <f aca="false">IFERROR(L70,AC70)</f>
        <v>https://www.google.com/maps?z=12&amp;t=m&amp;q=loc:-6.927785+110.183065</v>
      </c>
      <c r="AV70" s="11" t="str">
        <f aca="false">IFERROR(M70,AD70)</f>
        <v>GOOD</v>
      </c>
      <c r="AW70" s="11" t="n">
        <f aca="false">IFERROR(N70,AE70)</f>
        <v>0</v>
      </c>
      <c r="AX70" s="11" t="n">
        <f aca="false">IFERROR(O70,AF70)</f>
        <v>81393112233</v>
      </c>
    </row>
    <row r="71" customFormat="false" ht="15.75" hidden="false" customHeight="true" outlineLevel="0" collapsed="false">
      <c r="A71" s="10"/>
      <c r="B71" s="10" t="s">
        <v>149</v>
      </c>
      <c r="C71" s="10" t="s">
        <v>19</v>
      </c>
      <c r="D71" s="10" t="s">
        <v>153</v>
      </c>
      <c r="E71" s="10" t="s">
        <v>154</v>
      </c>
      <c r="F71" s="11" t="s">
        <v>152</v>
      </c>
      <c r="G71" s="11" t="str">
        <f aca="false">VLOOKUP(D71,'DATABASE RO'!$B$3:$M$299,4,0)</f>
        <v>CUS063120231207869</v>
      </c>
      <c r="H71" s="11" t="str">
        <f aca="false">VLOOKUP(D71,'DATABASE RO'!$B$3:$M$299,5,0)</f>
        <v>YES</v>
      </c>
      <c r="I71" s="11" t="str">
        <f aca="false">VLOOKUP(D71,'DATABASE RO'!$B$3:$M$299,6,0)</f>
        <v>DESA PUGUH, 003, 003, Puguh, Pegandon, KAB-Kendal, 51357</v>
      </c>
      <c r="J71" s="11" t="str">
        <f aca="false">VLOOKUP(D71,'DATABASE RO'!$B$3:$M$299,7,0)</f>
        <v>PUGUH</v>
      </c>
      <c r="K71" s="11" t="str">
        <f aca="false">VLOOKUP(D71,'DATABASE RO'!$B$3:$M$299,8,0)</f>
        <v>PEGANDON</v>
      </c>
      <c r="L71" s="11" t="str">
        <f aca="false">VLOOKUP(D71,'DATABASE RO'!$B$3:$M$299,9,0)</f>
        <v>https://www.google.com/maps?z=12&amp;t=m&amp;q=loc:-6.995054+110.150966</v>
      </c>
      <c r="M71" s="11" t="str">
        <f aca="false">VLOOKUP(D71,'DATABASE RO'!$B$3:$M$299,10,0)</f>
        <v>GOOD</v>
      </c>
      <c r="N71" s="11"/>
      <c r="O71" s="11" t="n">
        <f aca="false">VLOOKUP(D71,'DATABASE RO'!$B$3:$M$299,12,0)</f>
        <v>89677104292</v>
      </c>
      <c r="P71" s="11"/>
      <c r="S71" s="9" t="str">
        <f aca="false">B71</f>
        <v>P3</v>
      </c>
      <c r="T71" s="9" t="str">
        <f aca="false">C71</f>
        <v>KENDAL</v>
      </c>
      <c r="U71" s="9" t="str">
        <f aca="false">D71</f>
        <v>1063120231204395</v>
      </c>
      <c r="V71" s="9" t="str">
        <f aca="false">E71</f>
        <v>VANNI EKA PRASTIKNO</v>
      </c>
      <c r="W71" s="10"/>
      <c r="X71" s="11" t="str">
        <f aca="false">VLOOKUP(V71,'DATABASE RO'!$C$3:$M$185,3,0)</f>
        <v>CUS063120231207869</v>
      </c>
      <c r="Y71" s="11" t="str">
        <f aca="false">VLOOKUP(V71,'DATABASE RO'!$C$3:$M$185,4,0)</f>
        <v>YES</v>
      </c>
      <c r="Z71" s="11" t="str">
        <f aca="false">VLOOKUP(V71,'DATABASE RO'!$C$3:$M$185,5,0)</f>
        <v>DESA PUGUH, 003, 003, Puguh, Pegandon, KAB-Kendal, 51357</v>
      </c>
      <c r="AA71" s="11" t="str">
        <f aca="false">VLOOKUP(V71,'DATABASE RO'!$C$3:$M$185,6,0)</f>
        <v>PUGUH</v>
      </c>
      <c r="AB71" s="11" t="str">
        <f aca="false">VLOOKUP(V71,'DATABASE RO'!$C$3:$M$185,7,0)</f>
        <v>PEGANDON</v>
      </c>
      <c r="AC71" s="11" t="str">
        <f aca="false">VLOOKUP(V71,'DATABASE RO'!$C$3:$M$185,8,0)</f>
        <v>https://www.google.com/maps?z=12&amp;t=m&amp;q=loc:-6.995054+110.150966</v>
      </c>
      <c r="AD71" s="11" t="str">
        <f aca="false">VLOOKUP(V71,'DATABASE RO'!$C$3:$M$185,9,0)</f>
        <v>GOOD</v>
      </c>
      <c r="AE71" s="11"/>
      <c r="AF71" s="11" t="n">
        <f aca="false">VLOOKUP(V71,'DATABASE RO'!$C$3:$M$185,11,0)</f>
        <v>89677104292</v>
      </c>
      <c r="AG71" s="11"/>
      <c r="AJ71" s="10"/>
      <c r="AK71" s="10" t="str">
        <f aca="false">B71</f>
        <v>P3</v>
      </c>
      <c r="AL71" s="10" t="str">
        <f aca="false">C71</f>
        <v>KENDAL</v>
      </c>
      <c r="AM71" s="10" t="str">
        <f aca="false">D71</f>
        <v>1063120231204395</v>
      </c>
      <c r="AN71" s="10" t="str">
        <f aca="false">E71</f>
        <v>VANNI EKA PRASTIKNO</v>
      </c>
      <c r="AO71" s="10" t="str">
        <f aca="false">F71</f>
        <v>Uncontacted Telesales</v>
      </c>
      <c r="AP71" s="11" t="str">
        <f aca="false">IFERROR(G71,X71)</f>
        <v>CUS063120231207869</v>
      </c>
      <c r="AQ71" s="11" t="str">
        <f aca="false">IFERROR(H71,Y71)</f>
        <v>YES</v>
      </c>
      <c r="AR71" s="11" t="str">
        <f aca="false">IFERROR(I71,Z71)</f>
        <v>DESA PUGUH, 003, 003, Puguh, Pegandon, KAB-Kendal, 51357</v>
      </c>
      <c r="AS71" s="11" t="str">
        <f aca="false">IFERROR(J71,AA71)</f>
        <v>PUGUH</v>
      </c>
      <c r="AT71" s="11" t="str">
        <f aca="false">IFERROR(K71,AB71)</f>
        <v>PEGANDON</v>
      </c>
      <c r="AU71" s="11" t="str">
        <f aca="false">IFERROR(L71,AC71)</f>
        <v>https://www.google.com/maps?z=12&amp;t=m&amp;q=loc:-6.995054+110.150966</v>
      </c>
      <c r="AV71" s="11" t="str">
        <f aca="false">IFERROR(M71,AD71)</f>
        <v>GOOD</v>
      </c>
      <c r="AW71" s="11" t="n">
        <f aca="false">IFERROR(N71,AE71)</f>
        <v>0</v>
      </c>
      <c r="AX71" s="11" t="n">
        <f aca="false">IFERROR(O71,AF71)</f>
        <v>89677104292</v>
      </c>
    </row>
    <row r="72" customFormat="false" ht="15.75" hidden="false" customHeight="true" outlineLevel="0" collapsed="false">
      <c r="A72" s="10"/>
      <c r="B72" s="10" t="s">
        <v>149</v>
      </c>
      <c r="C72" s="10" t="s">
        <v>19</v>
      </c>
      <c r="D72" s="10" t="s">
        <v>155</v>
      </c>
      <c r="E72" s="10" t="s">
        <v>156</v>
      </c>
      <c r="F72" s="11" t="s">
        <v>152</v>
      </c>
      <c r="G72" s="11" t="str">
        <f aca="false">VLOOKUP(D72,'DATABASE RO'!$B$3:$M$299,4,0)</f>
        <v>CUS063120240708133</v>
      </c>
      <c r="H72" s="11" t="str">
        <f aca="false">VLOOKUP(D72,'DATABASE RO'!$B$3:$M$299,5,0)</f>
        <v>yes</v>
      </c>
      <c r="I72" s="11" t="str">
        <f aca="false">VLOOKUP(D72,'DATABASE RO'!$B$3:$M$299,6,0)</f>
        <v>DUSUN SIDOMULYO, 003, 003, Gebanganom, Rowosari, KAB-Kendal, 51354</v>
      </c>
      <c r="J72" s="11" t="str">
        <f aca="false">VLOOKUP(D72,'DATABASE RO'!$B$3:$M$299,7,0)</f>
        <v>GEBANGANOM</v>
      </c>
      <c r="K72" s="11" t="str">
        <f aca="false">VLOOKUP(D72,'DATABASE RO'!$B$3:$M$299,8,0)</f>
        <v>ROWOSARI</v>
      </c>
      <c r="L72" s="11" t="str">
        <f aca="false">VLOOKUP(D72,'DATABASE RO'!$B$3:$M$299,9,0)</f>
        <v>https://www.google.com/maps?z=12&amp;t=m&amp;q=loc:-6.928537+110.058435</v>
      </c>
      <c r="M72" s="11" t="str">
        <f aca="false">VLOOKUP(D72,'DATABASE RO'!$B$3:$M$299,10,0)</f>
        <v>EXCELLENT</v>
      </c>
      <c r="N72" s="11"/>
      <c r="O72" s="11" t="n">
        <f aca="false">VLOOKUP(D72,'DATABASE RO'!$B$3:$M$299,12,0)</f>
        <v>87838540788</v>
      </c>
      <c r="P72" s="11"/>
      <c r="S72" s="9" t="str">
        <f aca="false">B72</f>
        <v>P3</v>
      </c>
      <c r="T72" s="9" t="str">
        <f aca="false">C72</f>
        <v>KENDAL</v>
      </c>
      <c r="U72" s="9" t="str">
        <f aca="false">D72</f>
        <v>1063120240704655</v>
      </c>
      <c r="V72" s="9" t="str">
        <f aca="false">E72</f>
        <v>HANA IHZA MAULANI</v>
      </c>
      <c r="W72" s="10"/>
      <c r="X72" s="11" t="str">
        <f aca="false">VLOOKUP(V72,'DATABASE RO'!$C$3:$M$185,3,0)</f>
        <v>CUS063120240708133</v>
      </c>
      <c r="Y72" s="11" t="str">
        <f aca="false">VLOOKUP(V72,'DATABASE RO'!$C$3:$M$185,4,0)</f>
        <v>yes</v>
      </c>
      <c r="Z72" s="11" t="str">
        <f aca="false">VLOOKUP(V72,'DATABASE RO'!$C$3:$M$185,5,0)</f>
        <v>DUSUN SIDOMULYO, 003, 003, Gebanganom, Rowosari, KAB-Kendal, 51354</v>
      </c>
      <c r="AA72" s="11" t="str">
        <f aca="false">VLOOKUP(V72,'DATABASE RO'!$C$3:$M$185,6,0)</f>
        <v>GEBANGANOM</v>
      </c>
      <c r="AB72" s="11" t="str">
        <f aca="false">VLOOKUP(V72,'DATABASE RO'!$C$3:$M$185,7,0)</f>
        <v>ROWOSARI</v>
      </c>
      <c r="AC72" s="11" t="str">
        <f aca="false">VLOOKUP(V72,'DATABASE RO'!$C$3:$M$185,8,0)</f>
        <v>https://www.google.com/maps?z=12&amp;t=m&amp;q=loc:-6.928537+110.058435</v>
      </c>
      <c r="AD72" s="11" t="str">
        <f aca="false">VLOOKUP(V72,'DATABASE RO'!$C$3:$M$185,9,0)</f>
        <v>EXCELLENT</v>
      </c>
      <c r="AE72" s="11"/>
      <c r="AF72" s="11" t="n">
        <f aca="false">VLOOKUP(V72,'DATABASE RO'!$C$3:$M$185,11,0)</f>
        <v>87838540788</v>
      </c>
      <c r="AG72" s="11"/>
      <c r="AJ72" s="10"/>
      <c r="AK72" s="10" t="str">
        <f aca="false">B72</f>
        <v>P3</v>
      </c>
      <c r="AL72" s="10" t="str">
        <f aca="false">C72</f>
        <v>KENDAL</v>
      </c>
      <c r="AM72" s="10" t="str">
        <f aca="false">D72</f>
        <v>1063120240704655</v>
      </c>
      <c r="AN72" s="10" t="str">
        <f aca="false">E72</f>
        <v>HANA IHZA MAULANI</v>
      </c>
      <c r="AO72" s="10" t="str">
        <f aca="false">F72</f>
        <v>Uncontacted Telesales</v>
      </c>
      <c r="AP72" s="11" t="str">
        <f aca="false">IFERROR(G72,X72)</f>
        <v>CUS063120240708133</v>
      </c>
      <c r="AQ72" s="11" t="str">
        <f aca="false">IFERROR(H72,Y72)</f>
        <v>yes</v>
      </c>
      <c r="AR72" s="11" t="str">
        <f aca="false">IFERROR(I72,Z72)</f>
        <v>DUSUN SIDOMULYO, 003, 003, Gebanganom, Rowosari, KAB-Kendal, 51354</v>
      </c>
      <c r="AS72" s="11" t="str">
        <f aca="false">IFERROR(J72,AA72)</f>
        <v>GEBANGANOM</v>
      </c>
      <c r="AT72" s="11" t="str">
        <f aca="false">IFERROR(K72,AB72)</f>
        <v>ROWOSARI</v>
      </c>
      <c r="AU72" s="11" t="str">
        <f aca="false">IFERROR(L72,AC72)</f>
        <v>https://www.google.com/maps?z=12&amp;t=m&amp;q=loc:-6.928537+110.058435</v>
      </c>
      <c r="AV72" s="11" t="str">
        <f aca="false">IFERROR(M72,AD72)</f>
        <v>EXCELLENT</v>
      </c>
      <c r="AW72" s="11" t="n">
        <f aca="false">IFERROR(N72,AE72)</f>
        <v>0</v>
      </c>
      <c r="AX72" s="11" t="n">
        <f aca="false">IFERROR(O72,AF72)</f>
        <v>87838540788</v>
      </c>
    </row>
    <row r="73" customFormat="false" ht="15.75" hidden="false" customHeight="true" outlineLevel="0" collapsed="false">
      <c r="A73" s="9" t="s">
        <v>1</v>
      </c>
      <c r="B73" s="10" t="s">
        <v>149</v>
      </c>
      <c r="C73" s="10" t="s">
        <v>19</v>
      </c>
      <c r="D73" s="10" t="s">
        <v>157</v>
      </c>
      <c r="E73" s="10" t="s">
        <v>158</v>
      </c>
      <c r="F73" s="11" t="s">
        <v>152</v>
      </c>
      <c r="G73" s="11" t="e">
        <f aca="false">VLOOKUP(D73,'DATABASE RO'!$B$3:$M$299,4,0)</f>
        <v>#N/A</v>
      </c>
      <c r="H73" s="11" t="e">
        <f aca="false">VLOOKUP(D73,'DATABASE RO'!$B$3:$M$299,5,0)</f>
        <v>#N/A</v>
      </c>
      <c r="I73" s="11" t="e">
        <f aca="false">VLOOKUP(D73,'DATABASE RO'!$B$3:$M$299,6,0)</f>
        <v>#N/A</v>
      </c>
      <c r="J73" s="11" t="e">
        <f aca="false">VLOOKUP(D73,'DATABASE RO'!$B$3:$M$299,7,0)</f>
        <v>#N/A</v>
      </c>
      <c r="K73" s="11" t="e">
        <f aca="false">VLOOKUP(D73,'DATABASE RO'!$B$3:$M$299,8,0)</f>
        <v>#N/A</v>
      </c>
      <c r="L73" s="11" t="e">
        <f aca="false">VLOOKUP(D73,'DATABASE RO'!$B$3:$M$299,9,0)</f>
        <v>#N/A</v>
      </c>
      <c r="M73" s="11" t="e">
        <f aca="false">VLOOKUP(D73,'DATABASE RO'!$B$3:$M$299,10,0)</f>
        <v>#N/A</v>
      </c>
      <c r="N73" s="11"/>
      <c r="O73" s="11" t="e">
        <f aca="false">VLOOKUP(D73,'DATABASE RO'!$B$3:$M$299,12,0)</f>
        <v>#N/A</v>
      </c>
      <c r="P73" s="11"/>
      <c r="S73" s="9" t="str">
        <f aca="false">B73</f>
        <v>P3</v>
      </c>
      <c r="T73" s="9" t="str">
        <f aca="false">C73</f>
        <v>KENDAL</v>
      </c>
      <c r="U73" s="9" t="str">
        <f aca="false">D73</f>
        <v>1063120230504116</v>
      </c>
      <c r="V73" s="9" t="str">
        <f aca="false">E73</f>
        <v>KALMI</v>
      </c>
      <c r="W73" s="10"/>
      <c r="X73" s="11" t="e">
        <f aca="false">VLOOKUP(V73,'DATABASE RO'!$C$3:$M$185,3,0)</f>
        <v>#N/A</v>
      </c>
      <c r="Y73" s="11" t="e">
        <f aca="false">VLOOKUP(V73,'DATABASE RO'!$C$3:$M$185,4,0)</f>
        <v>#N/A</v>
      </c>
      <c r="Z73" s="11" t="e">
        <f aca="false">VLOOKUP(V73,'DATABASE RO'!$C$3:$M$185,5,0)</f>
        <v>#N/A</v>
      </c>
      <c r="AA73" s="11" t="e">
        <f aca="false">VLOOKUP(V73,'DATABASE RO'!$C$3:$M$185,6,0)</f>
        <v>#N/A</v>
      </c>
      <c r="AB73" s="11" t="e">
        <f aca="false">VLOOKUP(V73,'DATABASE RO'!$C$3:$M$185,7,0)</f>
        <v>#N/A</v>
      </c>
      <c r="AC73" s="11" t="e">
        <f aca="false">VLOOKUP(V73,'DATABASE RO'!$C$3:$M$185,8,0)</f>
        <v>#N/A</v>
      </c>
      <c r="AD73" s="11" t="e">
        <f aca="false">VLOOKUP(V73,'DATABASE RO'!$C$3:$M$185,9,0)</f>
        <v>#N/A</v>
      </c>
      <c r="AE73" s="11"/>
      <c r="AF73" s="11" t="e">
        <f aca="false">VLOOKUP(V73,'DATABASE RO'!$C$3:$M$185,11,0)</f>
        <v>#N/A</v>
      </c>
      <c r="AG73" s="11"/>
      <c r="AJ73" s="9" t="s">
        <v>1</v>
      </c>
      <c r="AK73" s="10" t="str">
        <f aca="false">B73</f>
        <v>P3</v>
      </c>
      <c r="AL73" s="10" t="str">
        <f aca="false">C73</f>
        <v>KENDAL</v>
      </c>
      <c r="AM73" s="10" t="str">
        <f aca="false">D73</f>
        <v>1063120230504116</v>
      </c>
      <c r="AN73" s="10" t="str">
        <f aca="false">E73</f>
        <v>KALMI</v>
      </c>
      <c r="AO73" s="10" t="str">
        <f aca="false">F73</f>
        <v>Uncontacted Telesales</v>
      </c>
      <c r="AP73" s="11" t="e">
        <f aca="false">IFERROR(G73,X73)</f>
        <v>#N/A</v>
      </c>
      <c r="AQ73" s="11" t="e">
        <f aca="false">IFERROR(H73,Y73)</f>
        <v>#N/A</v>
      </c>
      <c r="AR73" s="11" t="e">
        <f aca="false">IFERROR(I73,Z73)</f>
        <v>#N/A</v>
      </c>
      <c r="AS73" s="11" t="e">
        <f aca="false">IFERROR(J73,AA73)</f>
        <v>#N/A</v>
      </c>
      <c r="AT73" s="11" t="e">
        <f aca="false">IFERROR(K73,AB73)</f>
        <v>#N/A</v>
      </c>
      <c r="AU73" s="11" t="e">
        <f aca="false">IFERROR(L73,AC73)</f>
        <v>#N/A</v>
      </c>
      <c r="AV73" s="11" t="e">
        <f aca="false">IFERROR(M73,AD73)</f>
        <v>#N/A</v>
      </c>
      <c r="AW73" s="11" t="n">
        <f aca="false">IFERROR(N73,AE73)</f>
        <v>0</v>
      </c>
      <c r="AX73" s="11" t="e">
        <f aca="false">IFERROR(O73,AF73)</f>
        <v>#N/A</v>
      </c>
    </row>
    <row r="74" customFormat="false" ht="15.75" hidden="false" customHeight="true" outlineLevel="0" collapsed="false">
      <c r="A74" s="10"/>
      <c r="B74" s="10" t="s">
        <v>149</v>
      </c>
      <c r="C74" s="10" t="s">
        <v>19</v>
      </c>
      <c r="D74" s="10" t="s">
        <v>159</v>
      </c>
      <c r="E74" s="10" t="s">
        <v>160</v>
      </c>
      <c r="F74" s="11" t="s">
        <v>152</v>
      </c>
      <c r="G74" s="11" t="str">
        <f aca="false">VLOOKUP(D74,'DATABASE RO'!$B$3:$M$299,4,0)</f>
        <v>CUS063120230507590</v>
      </c>
      <c r="H74" s="11" t="str">
        <f aca="false">VLOOKUP(D74,'DATABASE RO'!$B$3:$M$299,5,0)</f>
        <v>YES</v>
      </c>
      <c r="I74" s="11" t="str">
        <f aca="false">VLOOKUP(D74,'DATABASE RO'!$B$3:$M$299,6,0)</f>
        <v>CEPIRING RT 009 /RW 001, Cepiring, Cepiring, KAB-Kendal, 51352</v>
      </c>
      <c r="J74" s="11" t="str">
        <f aca="false">VLOOKUP(D74,'DATABASE RO'!$B$3:$M$299,7,0)</f>
        <v>CEPIRING</v>
      </c>
      <c r="K74" s="11" t="str">
        <f aca="false">VLOOKUP(D74,'DATABASE RO'!$B$3:$M$299,8,0)</f>
        <v>CEPIRING</v>
      </c>
      <c r="L74" s="11" t="str">
        <f aca="false">VLOOKUP(D74,'DATABASE RO'!$B$3:$M$299,9,0)</f>
        <v>https://www.google.com/maps?z=12&amp;t=m&amp;q=loc:-6.924749+110.154084</v>
      </c>
      <c r="M74" s="11" t="str">
        <f aca="false">VLOOKUP(D74,'DATABASE RO'!$B$3:$M$299,10,0)</f>
        <v>GOOD</v>
      </c>
      <c r="N74" s="11"/>
      <c r="O74" s="11" t="n">
        <f aca="false">VLOOKUP(D74,'DATABASE RO'!$B$3:$M$299,12,0)</f>
        <v>88980888140</v>
      </c>
      <c r="P74" s="11"/>
      <c r="S74" s="9" t="str">
        <f aca="false">B74</f>
        <v>P3</v>
      </c>
      <c r="T74" s="9" t="str">
        <f aca="false">C74</f>
        <v>KENDAL</v>
      </c>
      <c r="U74" s="9" t="str">
        <f aca="false">D74</f>
        <v>1063120230504128</v>
      </c>
      <c r="V74" s="9" t="str">
        <f aca="false">E74</f>
        <v>SALMA AYU RAMADHANI</v>
      </c>
      <c r="W74" s="10"/>
      <c r="X74" s="11" t="str">
        <f aca="false">VLOOKUP(V74,'DATABASE RO'!$C$3:$M$185,3,0)</f>
        <v>CUS063120230507590</v>
      </c>
      <c r="Y74" s="11" t="str">
        <f aca="false">VLOOKUP(V74,'DATABASE RO'!$C$3:$M$185,4,0)</f>
        <v>YES</v>
      </c>
      <c r="Z74" s="11" t="str">
        <f aca="false">VLOOKUP(V74,'DATABASE RO'!$C$3:$M$185,5,0)</f>
        <v>CEPIRING RT 009 /RW 001, Cepiring, Cepiring, KAB-Kendal, 51352</v>
      </c>
      <c r="AA74" s="11" t="str">
        <f aca="false">VLOOKUP(V74,'DATABASE RO'!$C$3:$M$185,6,0)</f>
        <v>CEPIRING</v>
      </c>
      <c r="AB74" s="11" t="str">
        <f aca="false">VLOOKUP(V74,'DATABASE RO'!$C$3:$M$185,7,0)</f>
        <v>CEPIRING</v>
      </c>
      <c r="AC74" s="11" t="str">
        <f aca="false">VLOOKUP(V74,'DATABASE RO'!$C$3:$M$185,8,0)</f>
        <v>https://www.google.com/maps?z=12&amp;t=m&amp;q=loc:-6.924749+110.154084</v>
      </c>
      <c r="AD74" s="11" t="str">
        <f aca="false">VLOOKUP(V74,'DATABASE RO'!$C$3:$M$185,9,0)</f>
        <v>GOOD</v>
      </c>
      <c r="AE74" s="11"/>
      <c r="AF74" s="11" t="n">
        <f aca="false">VLOOKUP(V74,'DATABASE RO'!$C$3:$M$185,11,0)</f>
        <v>88980888140</v>
      </c>
      <c r="AG74" s="11"/>
      <c r="AJ74" s="10"/>
      <c r="AK74" s="10" t="str">
        <f aca="false">B74</f>
        <v>P3</v>
      </c>
      <c r="AL74" s="10" t="str">
        <f aca="false">C74</f>
        <v>KENDAL</v>
      </c>
      <c r="AM74" s="10" t="str">
        <f aca="false">D74</f>
        <v>1063120230504128</v>
      </c>
      <c r="AN74" s="10" t="str">
        <f aca="false">E74</f>
        <v>SALMA AYU RAMADHANI</v>
      </c>
      <c r="AO74" s="10" t="str">
        <f aca="false">F74</f>
        <v>Uncontacted Telesales</v>
      </c>
      <c r="AP74" s="11" t="str">
        <f aca="false">IFERROR(G74,X74)</f>
        <v>CUS063120230507590</v>
      </c>
      <c r="AQ74" s="11" t="str">
        <f aca="false">IFERROR(H74,Y74)</f>
        <v>YES</v>
      </c>
      <c r="AR74" s="11" t="str">
        <f aca="false">IFERROR(I74,Z74)</f>
        <v>CEPIRING RT 009 /RW 001, Cepiring, Cepiring, KAB-Kendal, 51352</v>
      </c>
      <c r="AS74" s="11" t="str">
        <f aca="false">IFERROR(J74,AA74)</f>
        <v>CEPIRING</v>
      </c>
      <c r="AT74" s="11" t="str">
        <f aca="false">IFERROR(K74,AB74)</f>
        <v>CEPIRING</v>
      </c>
      <c r="AU74" s="11" t="str">
        <f aca="false">IFERROR(L74,AC74)</f>
        <v>https://www.google.com/maps?z=12&amp;t=m&amp;q=loc:-6.924749+110.154084</v>
      </c>
      <c r="AV74" s="11" t="str">
        <f aca="false">IFERROR(M74,AD74)</f>
        <v>GOOD</v>
      </c>
      <c r="AW74" s="11" t="n">
        <f aca="false">IFERROR(N74,AE74)</f>
        <v>0</v>
      </c>
      <c r="AX74" s="11" t="n">
        <f aca="false">IFERROR(O74,AF74)</f>
        <v>88980888140</v>
      </c>
    </row>
    <row r="75" customFormat="false" ht="15.75" hidden="false" customHeight="true" outlineLevel="0" collapsed="false">
      <c r="A75" s="9" t="s">
        <v>1</v>
      </c>
      <c r="B75" s="10" t="s">
        <v>149</v>
      </c>
      <c r="C75" s="10" t="s">
        <v>19</v>
      </c>
      <c r="D75" s="10" t="s">
        <v>161</v>
      </c>
      <c r="E75" s="10" t="s">
        <v>162</v>
      </c>
      <c r="F75" s="11" t="s">
        <v>152</v>
      </c>
      <c r="G75" s="11" t="e">
        <f aca="false">VLOOKUP(D75,'DATABASE RO'!$B$3:$M$299,4,0)</f>
        <v>#N/A</v>
      </c>
      <c r="H75" s="11" t="e">
        <f aca="false">VLOOKUP(D75,'DATABASE RO'!$B$3:$M$299,5,0)</f>
        <v>#N/A</v>
      </c>
      <c r="I75" s="11" t="e">
        <f aca="false">VLOOKUP(D75,'DATABASE RO'!$B$3:$M$299,6,0)</f>
        <v>#N/A</v>
      </c>
      <c r="J75" s="11" t="e">
        <f aca="false">VLOOKUP(D75,'DATABASE RO'!$B$3:$M$299,7,0)</f>
        <v>#N/A</v>
      </c>
      <c r="K75" s="11" t="e">
        <f aca="false">VLOOKUP(D75,'DATABASE RO'!$B$3:$M$299,8,0)</f>
        <v>#N/A</v>
      </c>
      <c r="L75" s="11" t="e">
        <f aca="false">VLOOKUP(D75,'DATABASE RO'!$B$3:$M$299,9,0)</f>
        <v>#N/A</v>
      </c>
      <c r="M75" s="11" t="e">
        <f aca="false">VLOOKUP(D75,'DATABASE RO'!$B$3:$M$299,10,0)</f>
        <v>#N/A</v>
      </c>
      <c r="N75" s="11"/>
      <c r="O75" s="11" t="e">
        <f aca="false">VLOOKUP(D75,'DATABASE RO'!$B$3:$M$299,12,0)</f>
        <v>#N/A</v>
      </c>
      <c r="P75" s="11"/>
      <c r="S75" s="9" t="str">
        <f aca="false">B75</f>
        <v>P3</v>
      </c>
      <c r="T75" s="9" t="str">
        <f aca="false">C75</f>
        <v>KENDAL</v>
      </c>
      <c r="U75" s="9" t="str">
        <f aca="false">D75</f>
        <v>1063120230504126</v>
      </c>
      <c r="V75" s="9" t="str">
        <f aca="false">E75</f>
        <v>ZAENAL ARIFIN</v>
      </c>
      <c r="W75" s="10"/>
      <c r="X75" s="11" t="e">
        <f aca="false">VLOOKUP(V75,'DATABASE RO'!$C$3:$M$185,3,0)</f>
        <v>#N/A</v>
      </c>
      <c r="Y75" s="11" t="e">
        <f aca="false">VLOOKUP(V75,'DATABASE RO'!$C$3:$M$185,4,0)</f>
        <v>#N/A</v>
      </c>
      <c r="Z75" s="11" t="e">
        <f aca="false">VLOOKUP(V75,'DATABASE RO'!$C$3:$M$185,5,0)</f>
        <v>#N/A</v>
      </c>
      <c r="AA75" s="11" t="e">
        <f aca="false">VLOOKUP(V75,'DATABASE RO'!$C$3:$M$185,6,0)</f>
        <v>#N/A</v>
      </c>
      <c r="AB75" s="11" t="e">
        <f aca="false">VLOOKUP(V75,'DATABASE RO'!$C$3:$M$185,7,0)</f>
        <v>#N/A</v>
      </c>
      <c r="AC75" s="11" t="e">
        <f aca="false">VLOOKUP(V75,'DATABASE RO'!$C$3:$M$185,8,0)</f>
        <v>#N/A</v>
      </c>
      <c r="AD75" s="11" t="e">
        <f aca="false">VLOOKUP(V75,'DATABASE RO'!$C$3:$M$185,9,0)</f>
        <v>#N/A</v>
      </c>
      <c r="AE75" s="11"/>
      <c r="AF75" s="11" t="e">
        <f aca="false">VLOOKUP(V75,'DATABASE RO'!$C$3:$M$185,11,0)</f>
        <v>#N/A</v>
      </c>
      <c r="AG75" s="11"/>
      <c r="AJ75" s="9" t="s">
        <v>1</v>
      </c>
      <c r="AK75" s="10" t="str">
        <f aca="false">B75</f>
        <v>P3</v>
      </c>
      <c r="AL75" s="10" t="str">
        <f aca="false">C75</f>
        <v>KENDAL</v>
      </c>
      <c r="AM75" s="10" t="str">
        <f aca="false">D75</f>
        <v>1063120230504126</v>
      </c>
      <c r="AN75" s="10" t="str">
        <f aca="false">E75</f>
        <v>ZAENAL ARIFIN</v>
      </c>
      <c r="AO75" s="10" t="str">
        <f aca="false">F75</f>
        <v>Uncontacted Telesales</v>
      </c>
      <c r="AP75" s="11" t="e">
        <f aca="false">IFERROR(G75,X75)</f>
        <v>#N/A</v>
      </c>
      <c r="AQ75" s="11" t="e">
        <f aca="false">IFERROR(H75,Y75)</f>
        <v>#N/A</v>
      </c>
      <c r="AR75" s="11" t="e">
        <f aca="false">IFERROR(I75,Z75)</f>
        <v>#N/A</v>
      </c>
      <c r="AS75" s="11" t="e">
        <f aca="false">IFERROR(J75,AA75)</f>
        <v>#N/A</v>
      </c>
      <c r="AT75" s="11" t="e">
        <f aca="false">IFERROR(K75,AB75)</f>
        <v>#N/A</v>
      </c>
      <c r="AU75" s="11" t="e">
        <f aca="false">IFERROR(L75,AC75)</f>
        <v>#N/A</v>
      </c>
      <c r="AV75" s="11" t="e">
        <f aca="false">IFERROR(M75,AD75)</f>
        <v>#N/A</v>
      </c>
      <c r="AW75" s="11" t="n">
        <f aca="false">IFERROR(N75,AE75)</f>
        <v>0</v>
      </c>
      <c r="AX75" s="11" t="e">
        <f aca="false">IFERROR(O75,AF75)</f>
        <v>#N/A</v>
      </c>
    </row>
    <row r="76" customFormat="false" ht="15.75" hidden="false" customHeight="true" outlineLevel="0" collapsed="false">
      <c r="A76" s="9" t="s">
        <v>1</v>
      </c>
      <c r="B76" s="10" t="s">
        <v>149</v>
      </c>
      <c r="C76" s="10" t="s">
        <v>19</v>
      </c>
      <c r="D76" s="10" t="s">
        <v>163</v>
      </c>
      <c r="E76" s="10" t="s">
        <v>164</v>
      </c>
      <c r="F76" s="11" t="s">
        <v>152</v>
      </c>
      <c r="G76" s="11" t="e">
        <f aca="false">VLOOKUP(D76,'DATABASE RO'!$B$3:$M$299,4,0)</f>
        <v>#N/A</v>
      </c>
      <c r="H76" s="11" t="e">
        <f aca="false">VLOOKUP(D76,'DATABASE RO'!$B$3:$M$299,5,0)</f>
        <v>#N/A</v>
      </c>
      <c r="I76" s="11" t="e">
        <f aca="false">VLOOKUP(D76,'DATABASE RO'!$B$3:$M$299,6,0)</f>
        <v>#N/A</v>
      </c>
      <c r="J76" s="11" t="e">
        <f aca="false">VLOOKUP(D76,'DATABASE RO'!$B$3:$M$299,7,0)</f>
        <v>#N/A</v>
      </c>
      <c r="K76" s="11" t="e">
        <f aca="false">VLOOKUP(D76,'DATABASE RO'!$B$3:$M$299,8,0)</f>
        <v>#N/A</v>
      </c>
      <c r="L76" s="11" t="e">
        <f aca="false">VLOOKUP(D76,'DATABASE RO'!$B$3:$M$299,9,0)</f>
        <v>#N/A</v>
      </c>
      <c r="M76" s="11" t="e">
        <f aca="false">VLOOKUP(D76,'DATABASE RO'!$B$3:$M$299,10,0)</f>
        <v>#N/A</v>
      </c>
      <c r="N76" s="11"/>
      <c r="O76" s="11" t="e">
        <f aca="false">VLOOKUP(D76,'DATABASE RO'!$B$3:$M$299,12,0)</f>
        <v>#N/A</v>
      </c>
      <c r="P76" s="11"/>
      <c r="S76" s="9" t="str">
        <f aca="false">B76</f>
        <v>P3</v>
      </c>
      <c r="T76" s="9" t="str">
        <f aca="false">C76</f>
        <v>KENDAL</v>
      </c>
      <c r="U76" s="9" t="str">
        <f aca="false">D76</f>
        <v>1063120230604136</v>
      </c>
      <c r="V76" s="9" t="str">
        <f aca="false">E76</f>
        <v>MUKHAMAD ALDI PRASETYO</v>
      </c>
      <c r="W76" s="10"/>
      <c r="X76" s="11" t="e">
        <f aca="false">VLOOKUP(V76,'DATABASE RO'!$C$3:$M$185,3,0)</f>
        <v>#N/A</v>
      </c>
      <c r="Y76" s="11" t="e">
        <f aca="false">VLOOKUP(V76,'DATABASE RO'!$C$3:$M$185,4,0)</f>
        <v>#N/A</v>
      </c>
      <c r="Z76" s="11" t="e">
        <f aca="false">VLOOKUP(V76,'DATABASE RO'!$C$3:$M$185,5,0)</f>
        <v>#N/A</v>
      </c>
      <c r="AA76" s="11" t="e">
        <f aca="false">VLOOKUP(V76,'DATABASE RO'!$C$3:$M$185,6,0)</f>
        <v>#N/A</v>
      </c>
      <c r="AB76" s="11" t="e">
        <f aca="false">VLOOKUP(V76,'DATABASE RO'!$C$3:$M$185,7,0)</f>
        <v>#N/A</v>
      </c>
      <c r="AC76" s="11" t="e">
        <f aca="false">VLOOKUP(V76,'DATABASE RO'!$C$3:$M$185,8,0)</f>
        <v>#N/A</v>
      </c>
      <c r="AD76" s="11" t="e">
        <f aca="false">VLOOKUP(V76,'DATABASE RO'!$C$3:$M$185,9,0)</f>
        <v>#N/A</v>
      </c>
      <c r="AE76" s="11"/>
      <c r="AF76" s="11" t="e">
        <f aca="false">VLOOKUP(V76,'DATABASE RO'!$C$3:$M$185,11,0)</f>
        <v>#N/A</v>
      </c>
      <c r="AG76" s="11"/>
      <c r="AJ76" s="9" t="s">
        <v>1</v>
      </c>
      <c r="AK76" s="10" t="str">
        <f aca="false">B76</f>
        <v>P3</v>
      </c>
      <c r="AL76" s="10" t="str">
        <f aca="false">C76</f>
        <v>KENDAL</v>
      </c>
      <c r="AM76" s="10" t="str">
        <f aca="false">D76</f>
        <v>1063120230604136</v>
      </c>
      <c r="AN76" s="10" t="str">
        <f aca="false">E76</f>
        <v>MUKHAMAD ALDI PRASETYO</v>
      </c>
      <c r="AO76" s="10" t="str">
        <f aca="false">F76</f>
        <v>Uncontacted Telesales</v>
      </c>
      <c r="AP76" s="11" t="e">
        <f aca="false">IFERROR(G76,X76)</f>
        <v>#N/A</v>
      </c>
      <c r="AQ76" s="11" t="e">
        <f aca="false">IFERROR(H76,Y76)</f>
        <v>#N/A</v>
      </c>
      <c r="AR76" s="11" t="e">
        <f aca="false">IFERROR(I76,Z76)</f>
        <v>#N/A</v>
      </c>
      <c r="AS76" s="11" t="e">
        <f aca="false">IFERROR(J76,AA76)</f>
        <v>#N/A</v>
      </c>
      <c r="AT76" s="11" t="e">
        <f aca="false">IFERROR(K76,AB76)</f>
        <v>#N/A</v>
      </c>
      <c r="AU76" s="11" t="e">
        <f aca="false">IFERROR(L76,AC76)</f>
        <v>#N/A</v>
      </c>
      <c r="AV76" s="11" t="e">
        <f aca="false">IFERROR(M76,AD76)</f>
        <v>#N/A</v>
      </c>
      <c r="AW76" s="11" t="n">
        <f aca="false">IFERROR(N76,AE76)</f>
        <v>0</v>
      </c>
      <c r="AX76" s="11" t="e">
        <f aca="false">IFERROR(O76,AF76)</f>
        <v>#N/A</v>
      </c>
    </row>
    <row r="77" customFormat="false" ht="15.75" hidden="false" customHeight="true" outlineLevel="0" collapsed="false">
      <c r="A77" s="9" t="s">
        <v>1</v>
      </c>
      <c r="B77" s="10" t="s">
        <v>149</v>
      </c>
      <c r="C77" s="10" t="s">
        <v>19</v>
      </c>
      <c r="D77" s="10" t="s">
        <v>165</v>
      </c>
      <c r="E77" s="10" t="s">
        <v>166</v>
      </c>
      <c r="F77" s="11" t="s">
        <v>152</v>
      </c>
      <c r="G77" s="11" t="e">
        <f aca="false">VLOOKUP(D77,'DATABASE RO'!$B$3:$M$299,4,0)</f>
        <v>#N/A</v>
      </c>
      <c r="H77" s="11" t="e">
        <f aca="false">VLOOKUP(D77,'DATABASE RO'!$B$3:$M$299,5,0)</f>
        <v>#N/A</v>
      </c>
      <c r="I77" s="11" t="e">
        <f aca="false">VLOOKUP(D77,'DATABASE RO'!$B$3:$M$299,6,0)</f>
        <v>#N/A</v>
      </c>
      <c r="J77" s="11" t="e">
        <f aca="false">VLOOKUP(D77,'DATABASE RO'!$B$3:$M$299,7,0)</f>
        <v>#N/A</v>
      </c>
      <c r="K77" s="11" t="e">
        <f aca="false">VLOOKUP(D77,'DATABASE RO'!$B$3:$M$299,8,0)</f>
        <v>#N/A</v>
      </c>
      <c r="L77" s="11" t="e">
        <f aca="false">VLOOKUP(D77,'DATABASE RO'!$B$3:$M$299,9,0)</f>
        <v>#N/A</v>
      </c>
      <c r="M77" s="11" t="e">
        <f aca="false">VLOOKUP(D77,'DATABASE RO'!$B$3:$M$299,10,0)</f>
        <v>#N/A</v>
      </c>
      <c r="N77" s="11"/>
      <c r="O77" s="11" t="e">
        <f aca="false">VLOOKUP(D77,'DATABASE RO'!$B$3:$M$299,12,0)</f>
        <v>#N/A</v>
      </c>
      <c r="P77" s="11"/>
      <c r="S77" s="9" t="str">
        <f aca="false">B77</f>
        <v>P3</v>
      </c>
      <c r="T77" s="9" t="str">
        <f aca="false">C77</f>
        <v>KENDAL</v>
      </c>
      <c r="U77" s="9" t="str">
        <f aca="false">D77</f>
        <v>1063120230604147</v>
      </c>
      <c r="V77" s="9" t="str">
        <f aca="false">E77</f>
        <v>SITI ROKHATUN</v>
      </c>
      <c r="W77" s="10"/>
      <c r="X77" s="11" t="e">
        <f aca="false">VLOOKUP(V77,'DATABASE RO'!$C$3:$M$185,3,0)</f>
        <v>#N/A</v>
      </c>
      <c r="Y77" s="11" t="e">
        <f aca="false">VLOOKUP(V77,'DATABASE RO'!$C$3:$M$185,4,0)</f>
        <v>#N/A</v>
      </c>
      <c r="Z77" s="11" t="e">
        <f aca="false">VLOOKUP(V77,'DATABASE RO'!$C$3:$M$185,5,0)</f>
        <v>#N/A</v>
      </c>
      <c r="AA77" s="11" t="e">
        <f aca="false">VLOOKUP(V77,'DATABASE RO'!$C$3:$M$185,6,0)</f>
        <v>#N/A</v>
      </c>
      <c r="AB77" s="11" t="e">
        <f aca="false">VLOOKUP(V77,'DATABASE RO'!$C$3:$M$185,7,0)</f>
        <v>#N/A</v>
      </c>
      <c r="AC77" s="11" t="e">
        <f aca="false">VLOOKUP(V77,'DATABASE RO'!$C$3:$M$185,8,0)</f>
        <v>#N/A</v>
      </c>
      <c r="AD77" s="11" t="e">
        <f aca="false">VLOOKUP(V77,'DATABASE RO'!$C$3:$M$185,9,0)</f>
        <v>#N/A</v>
      </c>
      <c r="AE77" s="11"/>
      <c r="AF77" s="11" t="e">
        <f aca="false">VLOOKUP(V77,'DATABASE RO'!$C$3:$M$185,11,0)</f>
        <v>#N/A</v>
      </c>
      <c r="AG77" s="11"/>
      <c r="AJ77" s="9" t="s">
        <v>1</v>
      </c>
      <c r="AK77" s="10" t="str">
        <f aca="false">B77</f>
        <v>P3</v>
      </c>
      <c r="AL77" s="10" t="str">
        <f aca="false">C77</f>
        <v>KENDAL</v>
      </c>
      <c r="AM77" s="10" t="str">
        <f aca="false">D77</f>
        <v>1063120230604147</v>
      </c>
      <c r="AN77" s="10" t="str">
        <f aca="false">E77</f>
        <v>SITI ROKHATUN</v>
      </c>
      <c r="AO77" s="10" t="str">
        <f aca="false">F77</f>
        <v>Uncontacted Telesales</v>
      </c>
      <c r="AP77" s="11" t="e">
        <f aca="false">IFERROR(G77,X77)</f>
        <v>#N/A</v>
      </c>
      <c r="AQ77" s="11" t="e">
        <f aca="false">IFERROR(H77,Y77)</f>
        <v>#N/A</v>
      </c>
      <c r="AR77" s="11" t="e">
        <f aca="false">IFERROR(I77,Z77)</f>
        <v>#N/A</v>
      </c>
      <c r="AS77" s="11" t="e">
        <f aca="false">IFERROR(J77,AA77)</f>
        <v>#N/A</v>
      </c>
      <c r="AT77" s="11" t="e">
        <f aca="false">IFERROR(K77,AB77)</f>
        <v>#N/A</v>
      </c>
      <c r="AU77" s="11" t="e">
        <f aca="false">IFERROR(L77,AC77)</f>
        <v>#N/A</v>
      </c>
      <c r="AV77" s="11" t="e">
        <f aca="false">IFERROR(M77,AD77)</f>
        <v>#N/A</v>
      </c>
      <c r="AW77" s="11" t="n">
        <f aca="false">IFERROR(N77,AE77)</f>
        <v>0</v>
      </c>
      <c r="AX77" s="11" t="e">
        <f aca="false">IFERROR(O77,AF77)</f>
        <v>#N/A</v>
      </c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1"/>
      <c r="O78" s="11" t="e">
        <f aca="false">VLOOKUP(D78,'DATABASE RO'!$B$3:$M$110,12,0)</f>
        <v>#N/A</v>
      </c>
      <c r="P78" s="11"/>
      <c r="S78" s="9" t="n">
        <f aca="false">B78</f>
        <v>0</v>
      </c>
      <c r="T78" s="9" t="n">
        <f aca="false">C78</f>
        <v>0</v>
      </c>
      <c r="U78" s="9" t="n">
        <f aca="false">D78</f>
        <v>0</v>
      </c>
      <c r="V78" s="9" t="n">
        <f aca="false">E78</f>
        <v>0</v>
      </c>
      <c r="W78" s="10"/>
      <c r="X78" s="11" t="e">
        <f aca="false">VLOOKUP(V78,'DATABASE RO'!$C$3:$M$185,3,0)</f>
        <v>#N/A</v>
      </c>
      <c r="Y78" s="11" t="e">
        <f aca="false">VLOOKUP(V78,'DATABASE RO'!$C$3:$M$185,4,0)</f>
        <v>#N/A</v>
      </c>
      <c r="Z78" s="11" t="e">
        <f aca="false">VLOOKUP(V78,'DATABASE RO'!$C$3:$M$185,5,0)</f>
        <v>#N/A</v>
      </c>
      <c r="AA78" s="11" t="e">
        <f aca="false">VLOOKUP(V78,'DATABASE RO'!$C$3:$M$185,6,0)</f>
        <v>#N/A</v>
      </c>
      <c r="AB78" s="11" t="e">
        <f aca="false">VLOOKUP(V78,'DATABASE RO'!$C$3:$M$185,7,0)</f>
        <v>#N/A</v>
      </c>
      <c r="AC78" s="11" t="e">
        <f aca="false">VLOOKUP(V78,'DATABASE RO'!$C$3:$M$185,8,0)</f>
        <v>#N/A</v>
      </c>
      <c r="AD78" s="11" t="e">
        <f aca="false">VLOOKUP(V78,'DATABASE RO'!$C$3:$M$185,9,0)</f>
        <v>#N/A</v>
      </c>
      <c r="AE78" s="11"/>
      <c r="AF78" s="11" t="e">
        <f aca="false">VLOOKUP(V78,'DATABASE RO'!$C$3:$M$185,11,0)</f>
        <v>#N/A</v>
      </c>
      <c r="AG78" s="11"/>
      <c r="AJ78" s="10"/>
      <c r="AK78" s="10" t="n">
        <f aca="false">B78</f>
        <v>0</v>
      </c>
      <c r="AL78" s="10" t="n">
        <f aca="false">C78</f>
        <v>0</v>
      </c>
      <c r="AM78" s="10" t="n">
        <f aca="false">D78</f>
        <v>0</v>
      </c>
      <c r="AN78" s="10" t="n">
        <f aca="false">E78</f>
        <v>0</v>
      </c>
      <c r="AO78" s="10" t="n">
        <f aca="false">F78</f>
        <v>0</v>
      </c>
      <c r="AP78" s="11"/>
      <c r="AQ78" s="11"/>
      <c r="AR78" s="11"/>
      <c r="AS78" s="11"/>
      <c r="AT78" s="11"/>
      <c r="AU78" s="11"/>
      <c r="AV78" s="11"/>
      <c r="AW78" s="11"/>
      <c r="AX78" s="11" t="e">
        <f aca="false">VLOOKUP(AM78,'DATABASE RO'!$B$3:$M$110,12,0)</f>
        <v>#N/A</v>
      </c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1"/>
      <c r="G79" s="11"/>
      <c r="H79" s="11"/>
      <c r="I79" s="11"/>
      <c r="J79" s="11"/>
      <c r="K79" s="11"/>
      <c r="L79" s="11"/>
      <c r="M79" s="11"/>
      <c r="N79" s="11"/>
      <c r="O79" s="11" t="e">
        <f aca="false">VLOOKUP(D79,'DATABASE RO'!$B$3:$M$110,12,0)</f>
        <v>#N/A</v>
      </c>
      <c r="P79" s="11"/>
      <c r="S79" s="9" t="n">
        <f aca="false">B79</f>
        <v>0</v>
      </c>
      <c r="T79" s="9" t="n">
        <f aca="false">C79</f>
        <v>0</v>
      </c>
      <c r="U79" s="9" t="n">
        <f aca="false">D79</f>
        <v>0</v>
      </c>
      <c r="V79" s="9" t="n">
        <f aca="false">E79</f>
        <v>0</v>
      </c>
      <c r="W79" s="10"/>
      <c r="X79" s="11" t="e">
        <f aca="false">VLOOKUP(V79,'DATABASE RO'!$C$3:$M$185,3,0)</f>
        <v>#N/A</v>
      </c>
      <c r="Y79" s="11" t="e">
        <f aca="false">VLOOKUP(V79,'DATABASE RO'!$C$3:$M$185,4,0)</f>
        <v>#N/A</v>
      </c>
      <c r="Z79" s="11" t="e">
        <f aca="false">VLOOKUP(V79,'DATABASE RO'!$C$3:$M$185,5,0)</f>
        <v>#N/A</v>
      </c>
      <c r="AA79" s="11" t="e">
        <f aca="false">VLOOKUP(V79,'DATABASE RO'!$C$3:$M$185,6,0)</f>
        <v>#N/A</v>
      </c>
      <c r="AB79" s="11" t="e">
        <f aca="false">VLOOKUP(V79,'DATABASE RO'!$C$3:$M$185,7,0)</f>
        <v>#N/A</v>
      </c>
      <c r="AC79" s="11" t="e">
        <f aca="false">VLOOKUP(V79,'DATABASE RO'!$C$3:$M$185,8,0)</f>
        <v>#N/A</v>
      </c>
      <c r="AD79" s="11" t="e">
        <f aca="false">VLOOKUP(V79,'DATABASE RO'!$C$3:$M$185,9,0)</f>
        <v>#N/A</v>
      </c>
      <c r="AE79" s="11"/>
      <c r="AF79" s="11" t="e">
        <f aca="false">VLOOKUP(V79,'DATABASE RO'!$C$3:$M$185,11,0)</f>
        <v>#N/A</v>
      </c>
      <c r="AG79" s="11"/>
      <c r="AJ79" s="10"/>
      <c r="AK79" s="10" t="n">
        <f aca="false">B79</f>
        <v>0</v>
      </c>
      <c r="AL79" s="10" t="n">
        <f aca="false">C79</f>
        <v>0</v>
      </c>
      <c r="AM79" s="10" t="n">
        <f aca="false">D79</f>
        <v>0</v>
      </c>
      <c r="AN79" s="10" t="n">
        <f aca="false">E79</f>
        <v>0</v>
      </c>
      <c r="AO79" s="10" t="n">
        <f aca="false">F79</f>
        <v>0</v>
      </c>
      <c r="AP79" s="11"/>
      <c r="AQ79" s="11"/>
      <c r="AR79" s="11"/>
      <c r="AS79" s="11"/>
      <c r="AT79" s="11"/>
      <c r="AU79" s="11"/>
      <c r="AV79" s="11"/>
      <c r="AW79" s="11"/>
      <c r="AX79" s="11" t="e">
        <f aca="false">VLOOKUP(AM79,'DATABASE RO'!$B$3:$M$110,12,0)</f>
        <v>#N/A</v>
      </c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 t="e">
        <f aca="false">VLOOKUP(D80,'DATABASE RO'!$B$3:$M$110,12,0)</f>
        <v>#N/A</v>
      </c>
      <c r="P80" s="11"/>
      <c r="S80" s="9" t="n">
        <f aca="false">B80</f>
        <v>0</v>
      </c>
      <c r="T80" s="9" t="n">
        <f aca="false">C80</f>
        <v>0</v>
      </c>
      <c r="U80" s="9" t="n">
        <f aca="false">D80</f>
        <v>0</v>
      </c>
      <c r="V80" s="9" t="n">
        <f aca="false">E80</f>
        <v>0</v>
      </c>
      <c r="W80" s="10"/>
      <c r="X80" s="11" t="e">
        <f aca="false">VLOOKUP(V80,'DATABASE RO'!$C$3:$M$185,3,0)</f>
        <v>#N/A</v>
      </c>
      <c r="Y80" s="11" t="e">
        <f aca="false">VLOOKUP(V80,'DATABASE RO'!$C$3:$M$185,4,0)</f>
        <v>#N/A</v>
      </c>
      <c r="Z80" s="11" t="e">
        <f aca="false">VLOOKUP(V80,'DATABASE RO'!$C$3:$M$185,5,0)</f>
        <v>#N/A</v>
      </c>
      <c r="AA80" s="11" t="e">
        <f aca="false">VLOOKUP(V80,'DATABASE RO'!$C$3:$M$185,6,0)</f>
        <v>#N/A</v>
      </c>
      <c r="AB80" s="11" t="e">
        <f aca="false">VLOOKUP(V80,'DATABASE RO'!$C$3:$M$185,7,0)</f>
        <v>#N/A</v>
      </c>
      <c r="AC80" s="11" t="e">
        <f aca="false">VLOOKUP(V80,'DATABASE RO'!$C$3:$M$185,8,0)</f>
        <v>#N/A</v>
      </c>
      <c r="AD80" s="11" t="e">
        <f aca="false">VLOOKUP(V80,'DATABASE RO'!$C$3:$M$185,9,0)</f>
        <v>#N/A</v>
      </c>
      <c r="AE80" s="11"/>
      <c r="AF80" s="11" t="e">
        <f aca="false">VLOOKUP(V80,'DATABASE RO'!$C$3:$M$185,11,0)</f>
        <v>#N/A</v>
      </c>
      <c r="AG80" s="11"/>
      <c r="AJ80" s="10"/>
      <c r="AK80" s="10" t="n">
        <f aca="false">B80</f>
        <v>0</v>
      </c>
      <c r="AL80" s="10" t="n">
        <f aca="false">C80</f>
        <v>0</v>
      </c>
      <c r="AM80" s="10" t="n">
        <f aca="false">D80</f>
        <v>0</v>
      </c>
      <c r="AN80" s="10" t="n">
        <f aca="false">E80</f>
        <v>0</v>
      </c>
      <c r="AO80" s="10" t="n">
        <f aca="false">F80</f>
        <v>0</v>
      </c>
      <c r="AP80" s="11"/>
      <c r="AQ80" s="11"/>
      <c r="AR80" s="11"/>
      <c r="AS80" s="11"/>
      <c r="AT80" s="11"/>
      <c r="AU80" s="11"/>
      <c r="AV80" s="11"/>
      <c r="AW80" s="11"/>
      <c r="AX80" s="11" t="e">
        <f aca="false">VLOOKUP(AM80,'DATABASE RO'!$B$3:$M$110,12,0)</f>
        <v>#N/A</v>
      </c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 t="e">
        <f aca="false">VLOOKUP(D81,'DATABASE RO'!$B$3:$M$110,12,0)</f>
        <v>#N/A</v>
      </c>
      <c r="P81" s="11"/>
      <c r="S81" s="9" t="n">
        <f aca="false">B81</f>
        <v>0</v>
      </c>
      <c r="T81" s="9" t="n">
        <f aca="false">C81</f>
        <v>0</v>
      </c>
      <c r="U81" s="9" t="n">
        <f aca="false">D81</f>
        <v>0</v>
      </c>
      <c r="V81" s="9" t="n">
        <f aca="false">E81</f>
        <v>0</v>
      </c>
      <c r="W81" s="10"/>
      <c r="X81" s="11" t="e">
        <f aca="false">VLOOKUP(V81,'DATABASE RO'!$C$3:$M$185,3,0)</f>
        <v>#N/A</v>
      </c>
      <c r="Y81" s="11" t="e">
        <f aca="false">VLOOKUP(V81,'DATABASE RO'!$C$3:$M$185,4,0)</f>
        <v>#N/A</v>
      </c>
      <c r="Z81" s="11" t="e">
        <f aca="false">VLOOKUP(V81,'DATABASE RO'!$C$3:$M$185,5,0)</f>
        <v>#N/A</v>
      </c>
      <c r="AA81" s="11" t="e">
        <f aca="false">VLOOKUP(V81,'DATABASE RO'!$C$3:$M$185,6,0)</f>
        <v>#N/A</v>
      </c>
      <c r="AB81" s="11" t="e">
        <f aca="false">VLOOKUP(V81,'DATABASE RO'!$C$3:$M$185,7,0)</f>
        <v>#N/A</v>
      </c>
      <c r="AC81" s="11" t="e">
        <f aca="false">VLOOKUP(V81,'DATABASE RO'!$C$3:$M$185,8,0)</f>
        <v>#N/A</v>
      </c>
      <c r="AD81" s="11" t="e">
        <f aca="false">VLOOKUP(V81,'DATABASE RO'!$C$3:$M$185,9,0)</f>
        <v>#N/A</v>
      </c>
      <c r="AE81" s="11"/>
      <c r="AF81" s="11" t="e">
        <f aca="false">VLOOKUP(V81,'DATABASE RO'!$C$3:$M$185,11,0)</f>
        <v>#N/A</v>
      </c>
      <c r="AG81" s="11"/>
      <c r="AJ81" s="10"/>
      <c r="AK81" s="10" t="n">
        <f aca="false">B81</f>
        <v>0</v>
      </c>
      <c r="AL81" s="10" t="n">
        <f aca="false">C81</f>
        <v>0</v>
      </c>
      <c r="AM81" s="10" t="n">
        <f aca="false">D81</f>
        <v>0</v>
      </c>
      <c r="AN81" s="10" t="n">
        <f aca="false">E81</f>
        <v>0</v>
      </c>
      <c r="AO81" s="10" t="n">
        <f aca="false">F81</f>
        <v>0</v>
      </c>
      <c r="AP81" s="11"/>
      <c r="AQ81" s="11"/>
      <c r="AR81" s="11"/>
      <c r="AS81" s="11"/>
      <c r="AT81" s="11"/>
      <c r="AU81" s="11"/>
      <c r="AV81" s="11"/>
      <c r="AW81" s="11"/>
      <c r="AX81" s="11" t="e">
        <f aca="false">VLOOKUP(AM81,'DATABASE RO'!$B$3:$M$110,12,0)</f>
        <v>#N/A</v>
      </c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1"/>
      <c r="O82" s="11" t="e">
        <f aca="false">VLOOKUP(D82,'DATABASE RO'!$B$3:$M$110,12,0)</f>
        <v>#N/A</v>
      </c>
      <c r="P82" s="11"/>
      <c r="S82" s="9" t="n">
        <f aca="false">B82</f>
        <v>0</v>
      </c>
      <c r="T82" s="9" t="n">
        <f aca="false">C82</f>
        <v>0</v>
      </c>
      <c r="U82" s="9" t="n">
        <f aca="false">D82</f>
        <v>0</v>
      </c>
      <c r="V82" s="9" t="n">
        <f aca="false">E82</f>
        <v>0</v>
      </c>
      <c r="W82" s="10"/>
      <c r="X82" s="11" t="e">
        <f aca="false">VLOOKUP(V82,'DATABASE RO'!$C$3:$M$185,3,0)</f>
        <v>#N/A</v>
      </c>
      <c r="Y82" s="11" t="e">
        <f aca="false">VLOOKUP(V82,'DATABASE RO'!$C$3:$M$185,4,0)</f>
        <v>#N/A</v>
      </c>
      <c r="Z82" s="11" t="e">
        <f aca="false">VLOOKUP(V82,'DATABASE RO'!$C$3:$M$185,5,0)</f>
        <v>#N/A</v>
      </c>
      <c r="AA82" s="11" t="e">
        <f aca="false">VLOOKUP(V82,'DATABASE RO'!$C$3:$M$185,6,0)</f>
        <v>#N/A</v>
      </c>
      <c r="AB82" s="11" t="e">
        <f aca="false">VLOOKUP(V82,'DATABASE RO'!$C$3:$M$185,7,0)</f>
        <v>#N/A</v>
      </c>
      <c r="AC82" s="11" t="e">
        <f aca="false">VLOOKUP(V82,'DATABASE RO'!$C$3:$M$185,8,0)</f>
        <v>#N/A</v>
      </c>
      <c r="AD82" s="11" t="e">
        <f aca="false">VLOOKUP(V82,'DATABASE RO'!$C$3:$M$185,9,0)</f>
        <v>#N/A</v>
      </c>
      <c r="AE82" s="11"/>
      <c r="AF82" s="11" t="e">
        <f aca="false">VLOOKUP(V82,'DATABASE RO'!$C$3:$M$185,11,0)</f>
        <v>#N/A</v>
      </c>
      <c r="AG82" s="11"/>
      <c r="AJ82" s="10"/>
      <c r="AK82" s="10" t="n">
        <f aca="false">B82</f>
        <v>0</v>
      </c>
      <c r="AL82" s="10" t="n">
        <f aca="false">C82</f>
        <v>0</v>
      </c>
      <c r="AM82" s="10" t="n">
        <f aca="false">D82</f>
        <v>0</v>
      </c>
      <c r="AN82" s="10" t="n">
        <f aca="false">E82</f>
        <v>0</v>
      </c>
      <c r="AO82" s="10" t="n">
        <f aca="false">F82</f>
        <v>0</v>
      </c>
      <c r="AP82" s="11"/>
      <c r="AQ82" s="11"/>
      <c r="AR82" s="11"/>
      <c r="AS82" s="11"/>
      <c r="AT82" s="11"/>
      <c r="AU82" s="11"/>
      <c r="AV82" s="11"/>
      <c r="AW82" s="11"/>
      <c r="AX82" s="11" t="e">
        <f aca="false">VLOOKUP(AM82,'DATABASE RO'!$B$3:$M$110,12,0)</f>
        <v>#N/A</v>
      </c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 t="e">
        <f aca="false">VLOOKUP(D83,'DATABASE RO'!$B$3:$M$110,12,0)</f>
        <v>#N/A</v>
      </c>
      <c r="P83" s="11"/>
      <c r="S83" s="9" t="n">
        <f aca="false">B83</f>
        <v>0</v>
      </c>
      <c r="T83" s="9" t="n">
        <f aca="false">C83</f>
        <v>0</v>
      </c>
      <c r="U83" s="9" t="n">
        <f aca="false">D83</f>
        <v>0</v>
      </c>
      <c r="V83" s="9" t="n">
        <f aca="false">E83</f>
        <v>0</v>
      </c>
      <c r="W83" s="10"/>
      <c r="X83" s="11" t="e">
        <f aca="false">VLOOKUP(V83,'DATABASE RO'!$C$3:$M$185,3,0)</f>
        <v>#N/A</v>
      </c>
      <c r="Y83" s="11" t="e">
        <f aca="false">VLOOKUP(V83,'DATABASE RO'!$C$3:$M$185,4,0)</f>
        <v>#N/A</v>
      </c>
      <c r="Z83" s="11" t="e">
        <f aca="false">VLOOKUP(V83,'DATABASE RO'!$C$3:$M$185,5,0)</f>
        <v>#N/A</v>
      </c>
      <c r="AA83" s="11" t="e">
        <f aca="false">VLOOKUP(V83,'DATABASE RO'!$C$3:$M$185,6,0)</f>
        <v>#N/A</v>
      </c>
      <c r="AB83" s="11" t="e">
        <f aca="false">VLOOKUP(V83,'DATABASE RO'!$C$3:$M$185,7,0)</f>
        <v>#N/A</v>
      </c>
      <c r="AC83" s="11" t="e">
        <f aca="false">VLOOKUP(V83,'DATABASE RO'!$C$3:$M$185,8,0)</f>
        <v>#N/A</v>
      </c>
      <c r="AD83" s="11" t="e">
        <f aca="false">VLOOKUP(V83,'DATABASE RO'!$C$3:$M$185,9,0)</f>
        <v>#N/A</v>
      </c>
      <c r="AE83" s="11"/>
      <c r="AF83" s="11" t="e">
        <f aca="false">VLOOKUP(V83,'DATABASE RO'!$C$3:$M$185,11,0)</f>
        <v>#N/A</v>
      </c>
      <c r="AG83" s="11"/>
      <c r="AK83" s="10" t="n">
        <f aca="false">B83</f>
        <v>0</v>
      </c>
      <c r="AL83" s="10" t="n">
        <f aca="false">C83</f>
        <v>0</v>
      </c>
      <c r="AM83" s="10" t="n">
        <f aca="false">D83</f>
        <v>0</v>
      </c>
      <c r="AN83" s="10" t="n">
        <f aca="false">E83</f>
        <v>0</v>
      </c>
      <c r="AO83" s="10" t="n">
        <f aca="false">F83</f>
        <v>0</v>
      </c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1"/>
      <c r="G84" s="11"/>
      <c r="H84" s="11"/>
      <c r="I84" s="11"/>
      <c r="J84" s="11"/>
      <c r="K84" s="11"/>
      <c r="L84" s="11"/>
      <c r="M84" s="11"/>
      <c r="N84" s="11"/>
      <c r="O84" s="11" t="e">
        <f aca="false">VLOOKUP(D84,'DATABASE RO'!$B$3:$M$110,12,0)</f>
        <v>#N/A</v>
      </c>
      <c r="P84" s="11"/>
      <c r="S84" s="9" t="n">
        <f aca="false">B84</f>
        <v>0</v>
      </c>
      <c r="T84" s="9" t="n">
        <f aca="false">C84</f>
        <v>0</v>
      </c>
      <c r="U84" s="9" t="n">
        <f aca="false">D84</f>
        <v>0</v>
      </c>
      <c r="V84" s="9" t="n">
        <f aca="false">E84</f>
        <v>0</v>
      </c>
      <c r="W84" s="10"/>
      <c r="X84" s="11" t="e">
        <f aca="false">VLOOKUP(V84,'DATABASE RO'!$C$3:$M$185,3,0)</f>
        <v>#N/A</v>
      </c>
      <c r="Y84" s="11" t="e">
        <f aca="false">VLOOKUP(V84,'DATABASE RO'!$C$3:$M$185,4,0)</f>
        <v>#N/A</v>
      </c>
      <c r="Z84" s="11" t="e">
        <f aca="false">VLOOKUP(V84,'DATABASE RO'!$C$3:$M$185,5,0)</f>
        <v>#N/A</v>
      </c>
      <c r="AA84" s="11" t="e">
        <f aca="false">VLOOKUP(V84,'DATABASE RO'!$C$3:$M$185,6,0)</f>
        <v>#N/A</v>
      </c>
      <c r="AB84" s="11" t="e">
        <f aca="false">VLOOKUP(V84,'DATABASE RO'!$C$3:$M$185,7,0)</f>
        <v>#N/A</v>
      </c>
      <c r="AC84" s="11" t="e">
        <f aca="false">VLOOKUP(V84,'DATABASE RO'!$C$3:$M$185,8,0)</f>
        <v>#N/A</v>
      </c>
      <c r="AD84" s="11" t="e">
        <f aca="false">VLOOKUP(V84,'DATABASE RO'!$C$3:$M$185,9,0)</f>
        <v>#N/A</v>
      </c>
      <c r="AE84" s="11"/>
      <c r="AF84" s="11" t="e">
        <f aca="false">VLOOKUP(V84,'DATABASE RO'!$C$3:$M$185,11,0)</f>
        <v>#N/A</v>
      </c>
      <c r="AG84" s="11"/>
      <c r="AK84" s="10" t="n">
        <f aca="false">B84</f>
        <v>0</v>
      </c>
      <c r="AL84" s="10" t="n">
        <f aca="false">C84</f>
        <v>0</v>
      </c>
      <c r="AM84" s="10" t="n">
        <f aca="false">D84</f>
        <v>0</v>
      </c>
      <c r="AN84" s="10" t="n">
        <f aca="false">E84</f>
        <v>0</v>
      </c>
      <c r="AO84" s="10" t="n">
        <f aca="false">F84</f>
        <v>0</v>
      </c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1"/>
      <c r="G85" s="11"/>
      <c r="H85" s="11"/>
      <c r="I85" s="11"/>
      <c r="J85" s="11"/>
      <c r="K85" s="11"/>
      <c r="L85" s="11"/>
      <c r="M85" s="11"/>
      <c r="N85" s="11"/>
      <c r="O85" s="11" t="e">
        <f aca="false">VLOOKUP(D85,'DATABASE RO'!$B$3:$M$110,12,0)</f>
        <v>#N/A</v>
      </c>
      <c r="P85" s="11"/>
      <c r="S85" s="9" t="n">
        <f aca="false">B85</f>
        <v>0</v>
      </c>
      <c r="T85" s="9" t="n">
        <f aca="false">C85</f>
        <v>0</v>
      </c>
      <c r="U85" s="9" t="n">
        <f aca="false">D85</f>
        <v>0</v>
      </c>
      <c r="V85" s="9" t="n">
        <f aca="false">E85</f>
        <v>0</v>
      </c>
      <c r="W85" s="10"/>
      <c r="X85" s="11" t="e">
        <f aca="false">VLOOKUP(V85,'DATABASE RO'!$C$3:$M$185,3,0)</f>
        <v>#N/A</v>
      </c>
      <c r="Y85" s="11" t="e">
        <f aca="false">VLOOKUP(V85,'DATABASE RO'!$C$3:$M$185,4,0)</f>
        <v>#N/A</v>
      </c>
      <c r="Z85" s="11" t="e">
        <f aca="false">VLOOKUP(V85,'DATABASE RO'!$C$3:$M$185,5,0)</f>
        <v>#N/A</v>
      </c>
      <c r="AA85" s="11" t="e">
        <f aca="false">VLOOKUP(V85,'DATABASE RO'!$C$3:$M$185,6,0)</f>
        <v>#N/A</v>
      </c>
      <c r="AB85" s="11" t="e">
        <f aca="false">VLOOKUP(V85,'DATABASE RO'!$C$3:$M$185,7,0)</f>
        <v>#N/A</v>
      </c>
      <c r="AC85" s="11" t="e">
        <f aca="false">VLOOKUP(V85,'DATABASE RO'!$C$3:$M$185,8,0)</f>
        <v>#N/A</v>
      </c>
      <c r="AD85" s="11" t="e">
        <f aca="false">VLOOKUP(V85,'DATABASE RO'!$C$3:$M$185,9,0)</f>
        <v>#N/A</v>
      </c>
      <c r="AE85" s="11"/>
      <c r="AF85" s="11" t="e">
        <f aca="false">VLOOKUP(V85,'DATABASE RO'!$C$3:$M$185,11,0)</f>
        <v>#N/A</v>
      </c>
      <c r="AG85" s="11"/>
      <c r="AK85" s="10" t="n">
        <f aca="false">B85</f>
        <v>0</v>
      </c>
      <c r="AL85" s="10" t="n">
        <f aca="false">C85</f>
        <v>0</v>
      </c>
      <c r="AM85" s="10" t="n">
        <f aca="false">D85</f>
        <v>0</v>
      </c>
      <c r="AN85" s="10" t="n">
        <f aca="false">E85</f>
        <v>0</v>
      </c>
      <c r="AO85" s="10" t="n">
        <f aca="false">F85</f>
        <v>0</v>
      </c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1"/>
      <c r="G86" s="11"/>
      <c r="H86" s="11"/>
      <c r="I86" s="11"/>
      <c r="J86" s="11"/>
      <c r="K86" s="11"/>
      <c r="L86" s="11"/>
      <c r="M86" s="11"/>
      <c r="N86" s="11"/>
      <c r="O86" s="11" t="e">
        <f aca="false">VLOOKUP(D86,'DATABASE RO'!$B$3:$M$110,12,0)</f>
        <v>#N/A</v>
      </c>
      <c r="P86" s="11"/>
      <c r="S86" s="9" t="n">
        <f aca="false">B86</f>
        <v>0</v>
      </c>
      <c r="T86" s="9" t="n">
        <f aca="false">C86</f>
        <v>0</v>
      </c>
      <c r="U86" s="9" t="n">
        <f aca="false">D86</f>
        <v>0</v>
      </c>
      <c r="V86" s="9" t="n">
        <f aca="false">E86</f>
        <v>0</v>
      </c>
      <c r="W86" s="10"/>
      <c r="X86" s="11" t="e">
        <f aca="false">VLOOKUP(V86,'DATABASE RO'!$C$3:$M$185,3,0)</f>
        <v>#N/A</v>
      </c>
      <c r="Y86" s="11" t="e">
        <f aca="false">VLOOKUP(V86,'DATABASE RO'!$C$3:$M$185,4,0)</f>
        <v>#N/A</v>
      </c>
      <c r="Z86" s="11" t="e">
        <f aca="false">VLOOKUP(V86,'DATABASE RO'!$C$3:$M$185,5,0)</f>
        <v>#N/A</v>
      </c>
      <c r="AA86" s="11" t="e">
        <f aca="false">VLOOKUP(V86,'DATABASE RO'!$C$3:$M$185,6,0)</f>
        <v>#N/A</v>
      </c>
      <c r="AB86" s="11" t="e">
        <f aca="false">VLOOKUP(V86,'DATABASE RO'!$C$3:$M$185,7,0)</f>
        <v>#N/A</v>
      </c>
      <c r="AC86" s="11" t="e">
        <f aca="false">VLOOKUP(V86,'DATABASE RO'!$C$3:$M$185,8,0)</f>
        <v>#N/A</v>
      </c>
      <c r="AD86" s="11" t="e">
        <f aca="false">VLOOKUP(V86,'DATABASE RO'!$C$3:$M$185,9,0)</f>
        <v>#N/A</v>
      </c>
      <c r="AE86" s="11"/>
      <c r="AF86" s="11" t="e">
        <f aca="false">VLOOKUP(V86,'DATABASE RO'!$C$3:$M$185,11,0)</f>
        <v>#N/A</v>
      </c>
      <c r="AG86" s="11"/>
      <c r="AK86" s="10" t="n">
        <f aca="false">B86</f>
        <v>0</v>
      </c>
      <c r="AL86" s="10" t="n">
        <f aca="false">C86</f>
        <v>0</v>
      </c>
      <c r="AM86" s="10" t="n">
        <f aca="false">D86</f>
        <v>0</v>
      </c>
      <c r="AN86" s="10" t="n">
        <f aca="false">E86</f>
        <v>0</v>
      </c>
      <c r="AO86" s="10" t="n">
        <f aca="false">F86</f>
        <v>0</v>
      </c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1"/>
      <c r="G87" s="11"/>
      <c r="H87" s="11"/>
      <c r="I87" s="11"/>
      <c r="J87" s="11"/>
      <c r="K87" s="11"/>
      <c r="L87" s="11"/>
      <c r="M87" s="11"/>
      <c r="N87" s="11"/>
      <c r="O87" s="11" t="e">
        <f aca="false">VLOOKUP(D87,'DATABASE RO'!$B$3:$M$110,12,0)</f>
        <v>#N/A</v>
      </c>
      <c r="P87" s="11"/>
      <c r="S87" s="9" t="n">
        <f aca="false">B87</f>
        <v>0</v>
      </c>
      <c r="T87" s="9" t="n">
        <f aca="false">C87</f>
        <v>0</v>
      </c>
      <c r="U87" s="9" t="n">
        <f aca="false">D87</f>
        <v>0</v>
      </c>
      <c r="V87" s="9" t="n">
        <f aca="false">E87</f>
        <v>0</v>
      </c>
      <c r="W87" s="10"/>
      <c r="X87" s="11" t="e">
        <f aca="false">VLOOKUP(V87,'DATABASE RO'!$C$3:$M$185,3,0)</f>
        <v>#N/A</v>
      </c>
      <c r="Y87" s="11" t="e">
        <f aca="false">VLOOKUP(V87,'DATABASE RO'!$C$3:$M$185,4,0)</f>
        <v>#N/A</v>
      </c>
      <c r="Z87" s="11" t="e">
        <f aca="false">VLOOKUP(V87,'DATABASE RO'!$C$3:$M$185,5,0)</f>
        <v>#N/A</v>
      </c>
      <c r="AA87" s="11" t="e">
        <f aca="false">VLOOKUP(V87,'DATABASE RO'!$C$3:$M$185,6,0)</f>
        <v>#N/A</v>
      </c>
      <c r="AB87" s="11" t="e">
        <f aca="false">VLOOKUP(V87,'DATABASE RO'!$C$3:$M$185,7,0)</f>
        <v>#N/A</v>
      </c>
      <c r="AC87" s="11" t="e">
        <f aca="false">VLOOKUP(V87,'DATABASE RO'!$C$3:$M$185,8,0)</f>
        <v>#N/A</v>
      </c>
      <c r="AD87" s="11" t="e">
        <f aca="false">VLOOKUP(V87,'DATABASE RO'!$C$3:$M$185,9,0)</f>
        <v>#N/A</v>
      </c>
      <c r="AE87" s="11"/>
      <c r="AF87" s="11" t="e">
        <f aca="false">VLOOKUP(V87,'DATABASE RO'!$C$3:$M$185,11,0)</f>
        <v>#N/A</v>
      </c>
      <c r="AG87" s="11"/>
      <c r="AK87" s="10" t="n">
        <f aca="false">B87</f>
        <v>0</v>
      </c>
      <c r="AL87" s="10" t="n">
        <f aca="false">C87</f>
        <v>0</v>
      </c>
      <c r="AM87" s="10" t="n">
        <f aca="false">D87</f>
        <v>0</v>
      </c>
      <c r="AN87" s="10" t="n">
        <f aca="false">E87</f>
        <v>0</v>
      </c>
      <c r="AO87" s="10" t="n">
        <f aca="false">F87</f>
        <v>0</v>
      </c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1"/>
      <c r="G88" s="11"/>
      <c r="H88" s="11"/>
      <c r="I88" s="11"/>
      <c r="J88" s="11"/>
      <c r="K88" s="11"/>
      <c r="L88" s="11"/>
      <c r="M88" s="11"/>
      <c r="N88" s="11"/>
      <c r="O88" s="11" t="e">
        <f aca="false">VLOOKUP(D88,'DATABASE RO'!$B$3:$M$110,12,0)</f>
        <v>#N/A</v>
      </c>
      <c r="P88" s="11"/>
      <c r="S88" s="9" t="n">
        <f aca="false">B88</f>
        <v>0</v>
      </c>
      <c r="T88" s="9" t="n">
        <f aca="false">C88</f>
        <v>0</v>
      </c>
      <c r="U88" s="9" t="n">
        <f aca="false">D88</f>
        <v>0</v>
      </c>
      <c r="V88" s="9" t="n">
        <f aca="false">E88</f>
        <v>0</v>
      </c>
      <c r="W88" s="10"/>
      <c r="X88" s="11" t="e">
        <f aca="false">VLOOKUP(V88,'DATABASE RO'!$C$3:$M$185,3,0)</f>
        <v>#N/A</v>
      </c>
      <c r="Y88" s="11" t="e">
        <f aca="false">VLOOKUP(V88,'DATABASE RO'!$C$3:$M$185,4,0)</f>
        <v>#N/A</v>
      </c>
      <c r="Z88" s="11" t="e">
        <f aca="false">VLOOKUP(V88,'DATABASE RO'!$C$3:$M$185,5,0)</f>
        <v>#N/A</v>
      </c>
      <c r="AA88" s="11" t="e">
        <f aca="false">VLOOKUP(V88,'DATABASE RO'!$C$3:$M$185,6,0)</f>
        <v>#N/A</v>
      </c>
      <c r="AB88" s="11" t="e">
        <f aca="false">VLOOKUP(V88,'DATABASE RO'!$C$3:$M$185,7,0)</f>
        <v>#N/A</v>
      </c>
      <c r="AC88" s="11" t="e">
        <f aca="false">VLOOKUP(V88,'DATABASE RO'!$C$3:$M$185,8,0)</f>
        <v>#N/A</v>
      </c>
      <c r="AD88" s="11" t="e">
        <f aca="false">VLOOKUP(V88,'DATABASE RO'!$C$3:$M$185,9,0)</f>
        <v>#N/A</v>
      </c>
      <c r="AE88" s="11"/>
      <c r="AF88" s="11" t="e">
        <f aca="false">VLOOKUP(V88,'DATABASE RO'!$C$3:$M$185,11,0)</f>
        <v>#N/A</v>
      </c>
      <c r="AG88" s="11"/>
      <c r="AK88" s="10" t="n">
        <f aca="false">B88</f>
        <v>0</v>
      </c>
      <c r="AL88" s="10" t="n">
        <f aca="false">C88</f>
        <v>0</v>
      </c>
      <c r="AM88" s="10" t="n">
        <f aca="false">D88</f>
        <v>0</v>
      </c>
      <c r="AN88" s="10" t="n">
        <f aca="false">E88</f>
        <v>0</v>
      </c>
      <c r="AO88" s="10" t="n">
        <f aca="false">F88</f>
        <v>0</v>
      </c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1"/>
      <c r="G89" s="11"/>
      <c r="H89" s="11"/>
      <c r="I89" s="11"/>
      <c r="J89" s="11"/>
      <c r="K89" s="11"/>
      <c r="L89" s="11"/>
      <c r="M89" s="11"/>
      <c r="N89" s="11"/>
      <c r="O89" s="11" t="e">
        <f aca="false">VLOOKUP(D89,'DATABASE RO'!$B$3:$M$110,12,0)</f>
        <v>#N/A</v>
      </c>
      <c r="P89" s="11"/>
      <c r="S89" s="9" t="n">
        <f aca="false">B89</f>
        <v>0</v>
      </c>
      <c r="T89" s="9" t="n">
        <f aca="false">C89</f>
        <v>0</v>
      </c>
      <c r="U89" s="9" t="n">
        <f aca="false">D89</f>
        <v>0</v>
      </c>
      <c r="V89" s="9" t="n">
        <f aca="false">E89</f>
        <v>0</v>
      </c>
      <c r="W89" s="10"/>
      <c r="X89" s="11" t="e">
        <f aca="false">VLOOKUP(V89,'DATABASE RO'!$C$3:$M$185,3,0)</f>
        <v>#N/A</v>
      </c>
      <c r="Y89" s="11" t="e">
        <f aca="false">VLOOKUP(V89,'DATABASE RO'!$C$3:$M$185,4,0)</f>
        <v>#N/A</v>
      </c>
      <c r="Z89" s="11" t="e">
        <f aca="false">VLOOKUP(V89,'DATABASE RO'!$C$3:$M$185,5,0)</f>
        <v>#N/A</v>
      </c>
      <c r="AA89" s="11" t="e">
        <f aca="false">VLOOKUP(V89,'DATABASE RO'!$C$3:$M$185,6,0)</f>
        <v>#N/A</v>
      </c>
      <c r="AB89" s="11" t="e">
        <f aca="false">VLOOKUP(V89,'DATABASE RO'!$C$3:$M$185,7,0)</f>
        <v>#N/A</v>
      </c>
      <c r="AC89" s="11" t="e">
        <f aca="false">VLOOKUP(V89,'DATABASE RO'!$C$3:$M$185,8,0)</f>
        <v>#N/A</v>
      </c>
      <c r="AD89" s="11" t="e">
        <f aca="false">VLOOKUP(V89,'DATABASE RO'!$C$3:$M$185,9,0)</f>
        <v>#N/A</v>
      </c>
      <c r="AE89" s="11"/>
      <c r="AF89" s="11" t="e">
        <f aca="false">VLOOKUP(V89,'DATABASE RO'!$C$3:$M$185,11,0)</f>
        <v>#N/A</v>
      </c>
      <c r="AG89" s="11"/>
      <c r="AK89" s="10" t="n">
        <f aca="false">B89</f>
        <v>0</v>
      </c>
      <c r="AL89" s="10" t="n">
        <f aca="false">C89</f>
        <v>0</v>
      </c>
      <c r="AM89" s="10" t="n">
        <f aca="false">D89</f>
        <v>0</v>
      </c>
      <c r="AN89" s="10" t="n">
        <f aca="false">E89</f>
        <v>0</v>
      </c>
      <c r="AO89" s="10" t="n">
        <f aca="false">F89</f>
        <v>0</v>
      </c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1"/>
      <c r="G90" s="11"/>
      <c r="H90" s="11"/>
      <c r="I90" s="11"/>
      <c r="J90" s="11"/>
      <c r="K90" s="11"/>
      <c r="L90" s="11"/>
      <c r="M90" s="11"/>
      <c r="N90" s="11"/>
      <c r="O90" s="11" t="e">
        <f aca="false">VLOOKUP(D90,'DATABASE RO'!$B$3:$M$110,12,0)</f>
        <v>#N/A</v>
      </c>
      <c r="P90" s="11"/>
      <c r="S90" s="9" t="n">
        <f aca="false">B90</f>
        <v>0</v>
      </c>
      <c r="T90" s="9" t="n">
        <f aca="false">C90</f>
        <v>0</v>
      </c>
      <c r="U90" s="9" t="n">
        <f aca="false">D90</f>
        <v>0</v>
      </c>
      <c r="V90" s="9" t="n">
        <f aca="false">E90</f>
        <v>0</v>
      </c>
      <c r="W90" s="10"/>
      <c r="X90" s="11" t="e">
        <f aca="false">VLOOKUP(V90,'DATABASE RO'!$C$3:$M$185,3,0)</f>
        <v>#N/A</v>
      </c>
      <c r="Y90" s="11" t="e">
        <f aca="false">VLOOKUP(V90,'DATABASE RO'!$C$3:$M$185,4,0)</f>
        <v>#N/A</v>
      </c>
      <c r="Z90" s="11" t="e">
        <f aca="false">VLOOKUP(V90,'DATABASE RO'!$C$3:$M$185,5,0)</f>
        <v>#N/A</v>
      </c>
      <c r="AA90" s="11" t="e">
        <f aca="false">VLOOKUP(V90,'DATABASE RO'!$C$3:$M$185,6,0)</f>
        <v>#N/A</v>
      </c>
      <c r="AB90" s="11" t="e">
        <f aca="false">VLOOKUP(V90,'DATABASE RO'!$C$3:$M$185,7,0)</f>
        <v>#N/A</v>
      </c>
      <c r="AC90" s="11" t="e">
        <f aca="false">VLOOKUP(V90,'DATABASE RO'!$C$3:$M$185,8,0)</f>
        <v>#N/A</v>
      </c>
      <c r="AD90" s="11" t="e">
        <f aca="false">VLOOKUP(V90,'DATABASE RO'!$C$3:$M$185,9,0)</f>
        <v>#N/A</v>
      </c>
      <c r="AE90" s="11"/>
      <c r="AF90" s="11" t="e">
        <f aca="false">VLOOKUP(V90,'DATABASE RO'!$C$3:$M$185,11,0)</f>
        <v>#N/A</v>
      </c>
      <c r="AG90" s="11"/>
      <c r="AK90" s="10" t="n">
        <f aca="false">B90</f>
        <v>0</v>
      </c>
      <c r="AL90" s="10" t="n">
        <f aca="false">C90</f>
        <v>0</v>
      </c>
      <c r="AM90" s="10" t="n">
        <f aca="false">D90</f>
        <v>0</v>
      </c>
      <c r="AN90" s="10" t="n">
        <f aca="false">E90</f>
        <v>0</v>
      </c>
      <c r="AO90" s="10" t="n">
        <f aca="false">F90</f>
        <v>0</v>
      </c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1"/>
      <c r="G91" s="11"/>
      <c r="H91" s="11"/>
      <c r="I91" s="11"/>
      <c r="J91" s="11"/>
      <c r="K91" s="11"/>
      <c r="L91" s="11"/>
      <c r="M91" s="11"/>
      <c r="N91" s="11"/>
      <c r="O91" s="11" t="e">
        <f aca="false">VLOOKUP(D91,'DATABASE RO'!$B$3:$M$110,12,0)</f>
        <v>#N/A</v>
      </c>
      <c r="P91" s="11"/>
      <c r="S91" s="9" t="n">
        <f aca="false">B91</f>
        <v>0</v>
      </c>
      <c r="T91" s="9" t="n">
        <f aca="false">C91</f>
        <v>0</v>
      </c>
      <c r="U91" s="9" t="n">
        <f aca="false">D91</f>
        <v>0</v>
      </c>
      <c r="V91" s="9" t="n">
        <f aca="false">E91</f>
        <v>0</v>
      </c>
      <c r="W91" s="10"/>
      <c r="X91" s="11" t="e">
        <f aca="false">VLOOKUP(V91,'DATABASE RO'!$C$3:$M$185,3,0)</f>
        <v>#N/A</v>
      </c>
      <c r="Y91" s="11" t="e">
        <f aca="false">VLOOKUP(V91,'DATABASE RO'!$C$3:$M$185,4,0)</f>
        <v>#N/A</v>
      </c>
      <c r="Z91" s="11" t="e">
        <f aca="false">VLOOKUP(V91,'DATABASE RO'!$C$3:$M$185,5,0)</f>
        <v>#N/A</v>
      </c>
      <c r="AA91" s="11" t="e">
        <f aca="false">VLOOKUP(V91,'DATABASE RO'!$C$3:$M$185,6,0)</f>
        <v>#N/A</v>
      </c>
      <c r="AB91" s="11" t="e">
        <f aca="false">VLOOKUP(V91,'DATABASE RO'!$C$3:$M$185,7,0)</f>
        <v>#N/A</v>
      </c>
      <c r="AC91" s="11" t="e">
        <f aca="false">VLOOKUP(V91,'DATABASE RO'!$C$3:$M$185,8,0)</f>
        <v>#N/A</v>
      </c>
      <c r="AD91" s="11" t="e">
        <f aca="false">VLOOKUP(V91,'DATABASE RO'!$C$3:$M$185,9,0)</f>
        <v>#N/A</v>
      </c>
      <c r="AE91" s="11"/>
      <c r="AF91" s="11" t="e">
        <f aca="false">VLOOKUP(V91,'DATABASE RO'!$C$3:$M$185,11,0)</f>
        <v>#N/A</v>
      </c>
      <c r="AG91" s="11"/>
      <c r="AK91" s="10" t="n">
        <f aca="false">B91</f>
        <v>0</v>
      </c>
      <c r="AL91" s="10" t="n">
        <f aca="false">C91</f>
        <v>0</v>
      </c>
      <c r="AM91" s="10" t="n">
        <f aca="false">D91</f>
        <v>0</v>
      </c>
      <c r="AN91" s="10" t="n">
        <f aca="false">E91</f>
        <v>0</v>
      </c>
      <c r="AO91" s="10" t="n">
        <f aca="false">F91</f>
        <v>0</v>
      </c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1"/>
      <c r="G92" s="11"/>
      <c r="H92" s="11"/>
      <c r="I92" s="11"/>
      <c r="J92" s="11"/>
      <c r="K92" s="11"/>
      <c r="L92" s="11"/>
      <c r="M92" s="11"/>
      <c r="N92" s="11"/>
      <c r="O92" s="11" t="e">
        <f aca="false">VLOOKUP(D92,'DATABASE RO'!$B$3:$M$110,12,0)</f>
        <v>#N/A</v>
      </c>
      <c r="P92" s="11"/>
      <c r="S92" s="9" t="n">
        <f aca="false">B92</f>
        <v>0</v>
      </c>
      <c r="T92" s="9" t="n">
        <f aca="false">C92</f>
        <v>0</v>
      </c>
      <c r="U92" s="9" t="n">
        <f aca="false">D92</f>
        <v>0</v>
      </c>
      <c r="V92" s="9" t="n">
        <f aca="false">E92</f>
        <v>0</v>
      </c>
      <c r="W92" s="10"/>
      <c r="X92" s="11" t="e">
        <f aca="false">VLOOKUP(V92,'DATABASE RO'!$C$3:$M$185,3,0)</f>
        <v>#N/A</v>
      </c>
      <c r="Y92" s="11" t="e">
        <f aca="false">VLOOKUP(V92,'DATABASE RO'!$C$3:$M$185,4,0)</f>
        <v>#N/A</v>
      </c>
      <c r="Z92" s="11" t="e">
        <f aca="false">VLOOKUP(V92,'DATABASE RO'!$C$3:$M$185,5,0)</f>
        <v>#N/A</v>
      </c>
      <c r="AA92" s="11" t="e">
        <f aca="false">VLOOKUP(V92,'DATABASE RO'!$C$3:$M$185,6,0)</f>
        <v>#N/A</v>
      </c>
      <c r="AB92" s="11" t="e">
        <f aca="false">VLOOKUP(V92,'DATABASE RO'!$C$3:$M$185,7,0)</f>
        <v>#N/A</v>
      </c>
      <c r="AC92" s="11" t="e">
        <f aca="false">VLOOKUP(V92,'DATABASE RO'!$C$3:$M$185,8,0)</f>
        <v>#N/A</v>
      </c>
      <c r="AD92" s="11" t="e">
        <f aca="false">VLOOKUP(V92,'DATABASE RO'!$C$3:$M$185,9,0)</f>
        <v>#N/A</v>
      </c>
      <c r="AE92" s="11"/>
      <c r="AF92" s="11" t="e">
        <f aca="false">VLOOKUP(V92,'DATABASE RO'!$C$3:$M$185,11,0)</f>
        <v>#N/A</v>
      </c>
      <c r="AG92" s="11"/>
      <c r="AK92" s="10" t="n">
        <f aca="false">B92</f>
        <v>0</v>
      </c>
      <c r="AL92" s="10" t="n">
        <f aca="false">C92</f>
        <v>0</v>
      </c>
      <c r="AM92" s="10" t="n">
        <f aca="false">D92</f>
        <v>0</v>
      </c>
      <c r="AN92" s="10" t="n">
        <f aca="false">E92</f>
        <v>0</v>
      </c>
      <c r="AO92" s="10" t="n">
        <f aca="false">F92</f>
        <v>0</v>
      </c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1"/>
      <c r="G93" s="11"/>
      <c r="H93" s="11"/>
      <c r="I93" s="11"/>
      <c r="J93" s="11"/>
      <c r="K93" s="11"/>
      <c r="L93" s="11"/>
      <c r="M93" s="11"/>
      <c r="N93" s="11"/>
      <c r="O93" s="11" t="e">
        <f aca="false">VLOOKUP(D93,'DATABASE RO'!$B$3:$M$110,12,0)</f>
        <v>#N/A</v>
      </c>
      <c r="P93" s="11"/>
      <c r="S93" s="9" t="n">
        <f aca="false">B93</f>
        <v>0</v>
      </c>
      <c r="T93" s="9" t="n">
        <f aca="false">C93</f>
        <v>0</v>
      </c>
      <c r="U93" s="9" t="n">
        <f aca="false">D93</f>
        <v>0</v>
      </c>
      <c r="V93" s="9" t="n">
        <f aca="false">E93</f>
        <v>0</v>
      </c>
      <c r="W93" s="10"/>
      <c r="X93" s="11" t="e">
        <f aca="false">VLOOKUP(V93,'DATABASE RO'!$C$3:$M$185,3,0)</f>
        <v>#N/A</v>
      </c>
      <c r="Y93" s="11" t="e">
        <f aca="false">VLOOKUP(V93,'DATABASE RO'!$C$3:$M$185,4,0)</f>
        <v>#N/A</v>
      </c>
      <c r="Z93" s="11" t="e">
        <f aca="false">VLOOKUP(V93,'DATABASE RO'!$C$3:$M$185,5,0)</f>
        <v>#N/A</v>
      </c>
      <c r="AA93" s="11" t="e">
        <f aca="false">VLOOKUP(V93,'DATABASE RO'!$C$3:$M$185,6,0)</f>
        <v>#N/A</v>
      </c>
      <c r="AB93" s="11" t="e">
        <f aca="false">VLOOKUP(V93,'DATABASE RO'!$C$3:$M$185,7,0)</f>
        <v>#N/A</v>
      </c>
      <c r="AC93" s="11" t="e">
        <f aca="false">VLOOKUP(V93,'DATABASE RO'!$C$3:$M$185,8,0)</f>
        <v>#N/A</v>
      </c>
      <c r="AD93" s="11" t="e">
        <f aca="false">VLOOKUP(V93,'DATABASE RO'!$C$3:$M$185,9,0)</f>
        <v>#N/A</v>
      </c>
      <c r="AE93" s="11"/>
      <c r="AF93" s="11" t="e">
        <f aca="false">VLOOKUP(V93,'DATABASE RO'!$C$3:$M$185,11,0)</f>
        <v>#N/A</v>
      </c>
      <c r="AG93" s="11"/>
      <c r="AK93" s="10" t="n">
        <f aca="false">B93</f>
        <v>0</v>
      </c>
      <c r="AL93" s="10" t="n">
        <f aca="false">C93</f>
        <v>0</v>
      </c>
      <c r="AM93" s="10" t="n">
        <f aca="false">D93</f>
        <v>0</v>
      </c>
      <c r="AN93" s="10" t="n">
        <f aca="false">E93</f>
        <v>0</v>
      </c>
      <c r="AO93" s="10" t="n">
        <f aca="false">F93</f>
        <v>0</v>
      </c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1"/>
      <c r="G94" s="11"/>
      <c r="H94" s="11"/>
      <c r="I94" s="11"/>
      <c r="J94" s="11"/>
      <c r="K94" s="11"/>
      <c r="L94" s="11"/>
      <c r="M94" s="11"/>
      <c r="N94" s="11"/>
      <c r="O94" s="11" t="e">
        <f aca="false">VLOOKUP(D94,'DATABASE RO'!$B$3:$M$110,12,0)</f>
        <v>#N/A</v>
      </c>
      <c r="P94" s="11"/>
      <c r="S94" s="9"/>
      <c r="T94" s="9"/>
      <c r="U94" s="9"/>
      <c r="V94" s="9"/>
      <c r="AK94" s="10" t="n">
        <f aca="false">B94</f>
        <v>0</v>
      </c>
      <c r="AL94" s="10" t="n">
        <f aca="false">C94</f>
        <v>0</v>
      </c>
      <c r="AM94" s="10" t="n">
        <f aca="false">D94</f>
        <v>0</v>
      </c>
      <c r="AN94" s="10" t="n">
        <f aca="false">E94</f>
        <v>0</v>
      </c>
      <c r="AO94" s="10" t="n">
        <f aca="false">F94</f>
        <v>0</v>
      </c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1"/>
      <c r="G95" s="11"/>
      <c r="H95" s="11"/>
      <c r="I95" s="11"/>
      <c r="J95" s="11"/>
      <c r="K95" s="11"/>
      <c r="L95" s="11"/>
      <c r="M95" s="11"/>
      <c r="N95" s="11"/>
      <c r="O95" s="11" t="e">
        <f aca="false">VLOOKUP(D95,'DATABASE RO'!$B$3:$M$110,12,0)</f>
        <v>#N/A</v>
      </c>
      <c r="P95" s="11"/>
      <c r="S95" s="9"/>
      <c r="T95" s="9"/>
      <c r="U95" s="9"/>
      <c r="V95" s="9"/>
      <c r="AK95" s="10" t="n">
        <f aca="false">B95</f>
        <v>0</v>
      </c>
      <c r="AL95" s="10" t="n">
        <f aca="false">C95</f>
        <v>0</v>
      </c>
      <c r="AM95" s="10" t="n">
        <f aca="false">D95</f>
        <v>0</v>
      </c>
      <c r="AN95" s="10" t="n">
        <f aca="false">E95</f>
        <v>0</v>
      </c>
      <c r="AO95" s="10" t="n">
        <f aca="false">F95</f>
        <v>0</v>
      </c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1"/>
      <c r="G96" s="11"/>
      <c r="H96" s="11"/>
      <c r="I96" s="11"/>
      <c r="J96" s="11"/>
      <c r="K96" s="11"/>
      <c r="L96" s="11"/>
      <c r="M96" s="11"/>
      <c r="N96" s="11"/>
      <c r="O96" s="11" t="e">
        <f aca="false">VLOOKUP(D96,'DATABASE RO'!$B$3:$M$110,12,0)</f>
        <v>#N/A</v>
      </c>
      <c r="P96" s="11"/>
      <c r="S96" s="9"/>
      <c r="T96" s="9"/>
      <c r="U96" s="9"/>
      <c r="V96" s="9"/>
      <c r="AK96" s="10" t="n">
        <f aca="false">B96</f>
        <v>0</v>
      </c>
      <c r="AL96" s="10" t="n">
        <f aca="false">C96</f>
        <v>0</v>
      </c>
      <c r="AM96" s="10" t="n">
        <f aca="false">D96</f>
        <v>0</v>
      </c>
      <c r="AN96" s="10" t="n">
        <f aca="false">E96</f>
        <v>0</v>
      </c>
      <c r="AO96" s="10" t="n">
        <f aca="false">F96</f>
        <v>0</v>
      </c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1"/>
      <c r="G97" s="11"/>
      <c r="H97" s="11"/>
      <c r="I97" s="11"/>
      <c r="J97" s="11"/>
      <c r="K97" s="11"/>
      <c r="L97" s="11"/>
      <c r="M97" s="11"/>
      <c r="N97" s="11"/>
      <c r="O97" s="11" t="e">
        <f aca="false">VLOOKUP(D97,'DATABASE RO'!$B$3:$M$110,12,0)</f>
        <v>#N/A</v>
      </c>
      <c r="P97" s="11"/>
      <c r="S97" s="9"/>
      <c r="T97" s="9"/>
      <c r="U97" s="9"/>
      <c r="V97" s="9"/>
      <c r="AK97" s="10" t="n">
        <f aca="false">B97</f>
        <v>0</v>
      </c>
      <c r="AL97" s="10" t="n">
        <f aca="false">C97</f>
        <v>0</v>
      </c>
      <c r="AM97" s="10" t="n">
        <f aca="false">D97</f>
        <v>0</v>
      </c>
      <c r="AN97" s="10" t="n">
        <f aca="false">E97</f>
        <v>0</v>
      </c>
      <c r="AO97" s="10" t="n">
        <f aca="false">F97</f>
        <v>0</v>
      </c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1"/>
      <c r="G98" s="11"/>
      <c r="H98" s="11"/>
      <c r="I98" s="11"/>
      <c r="J98" s="11"/>
      <c r="K98" s="11"/>
      <c r="L98" s="11"/>
      <c r="M98" s="11"/>
      <c r="N98" s="11"/>
      <c r="O98" s="11" t="e">
        <f aca="false">VLOOKUP(D98,'DATABASE RO'!$B$3:$M$110,12,0)</f>
        <v>#N/A</v>
      </c>
      <c r="P98" s="11"/>
      <c r="S98" s="9"/>
      <c r="T98" s="9"/>
      <c r="U98" s="9"/>
      <c r="V98" s="9"/>
      <c r="AK98" s="10" t="n">
        <f aca="false">B98</f>
        <v>0</v>
      </c>
      <c r="AL98" s="10" t="n">
        <f aca="false">C98</f>
        <v>0</v>
      </c>
      <c r="AM98" s="10" t="n">
        <f aca="false">D98</f>
        <v>0</v>
      </c>
      <c r="AN98" s="10" t="n">
        <f aca="false">E98</f>
        <v>0</v>
      </c>
      <c r="AO98" s="10" t="n">
        <f aca="false">F98</f>
        <v>0</v>
      </c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 t="e">
        <f aca="false">VLOOKUP(D99,'DATABASE RO'!$B$3:$M$110,12,0)</f>
        <v>#N/A</v>
      </c>
      <c r="P99" s="11"/>
      <c r="S99" s="9"/>
      <c r="T99" s="9"/>
      <c r="U99" s="9"/>
      <c r="V99" s="9"/>
      <c r="AK99" s="10" t="n">
        <f aca="false">B99</f>
        <v>0</v>
      </c>
      <c r="AL99" s="10" t="n">
        <f aca="false">C99</f>
        <v>0</v>
      </c>
      <c r="AM99" s="10" t="n">
        <f aca="false">D99</f>
        <v>0</v>
      </c>
      <c r="AN99" s="10" t="n">
        <f aca="false">E99</f>
        <v>0</v>
      </c>
      <c r="AO99" s="10" t="n">
        <f aca="false">F99</f>
        <v>0</v>
      </c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1"/>
      <c r="G100" s="11"/>
      <c r="H100" s="11"/>
      <c r="I100" s="11"/>
      <c r="J100" s="11"/>
      <c r="K100" s="11"/>
      <c r="L100" s="11"/>
      <c r="M100" s="11"/>
      <c r="N100" s="11"/>
      <c r="O100" s="11" t="e">
        <f aca="false">VLOOKUP(D100,'DATABASE RO'!$B$3:$M$110,12,0)</f>
        <v>#N/A</v>
      </c>
      <c r="P100" s="11"/>
      <c r="S100" s="9"/>
      <c r="T100" s="9"/>
      <c r="U100" s="9"/>
      <c r="V100" s="9"/>
      <c r="AK100" s="10" t="n">
        <f aca="false">B100</f>
        <v>0</v>
      </c>
      <c r="AL100" s="10" t="n">
        <f aca="false">C100</f>
        <v>0</v>
      </c>
      <c r="AM100" s="10" t="n">
        <f aca="false">D100</f>
        <v>0</v>
      </c>
      <c r="AN100" s="10" t="n">
        <f aca="false">E100</f>
        <v>0</v>
      </c>
      <c r="AO100" s="10" t="n">
        <f aca="false">F100</f>
        <v>0</v>
      </c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1"/>
      <c r="G101" s="11"/>
      <c r="H101" s="11"/>
      <c r="I101" s="11"/>
      <c r="J101" s="11"/>
      <c r="K101" s="11"/>
      <c r="L101" s="11"/>
      <c r="M101" s="11"/>
      <c r="N101" s="11"/>
      <c r="O101" s="11" t="e">
        <f aca="false">VLOOKUP(D101,'DATABASE RO'!$B$3:$M$110,12,0)</f>
        <v>#N/A</v>
      </c>
      <c r="P101" s="11"/>
      <c r="S101" s="9"/>
      <c r="T101" s="9"/>
      <c r="U101" s="9"/>
      <c r="V101" s="9"/>
      <c r="AK101" s="10" t="n">
        <f aca="false">B101</f>
        <v>0</v>
      </c>
      <c r="AL101" s="10" t="n">
        <f aca="false">C101</f>
        <v>0</v>
      </c>
      <c r="AM101" s="10" t="n">
        <f aca="false">D101</f>
        <v>0</v>
      </c>
      <c r="AN101" s="10" t="n">
        <f aca="false">E101</f>
        <v>0</v>
      </c>
      <c r="AO101" s="10" t="n">
        <f aca="false">F101</f>
        <v>0</v>
      </c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1"/>
      <c r="G102" s="11"/>
      <c r="H102" s="11"/>
      <c r="I102" s="11"/>
      <c r="J102" s="11"/>
      <c r="K102" s="11"/>
      <c r="L102" s="11"/>
      <c r="M102" s="11"/>
      <c r="N102" s="11"/>
      <c r="O102" s="11" t="e">
        <f aca="false">VLOOKUP(D102,'DATABASE RO'!$B$3:$M$110,12,0)</f>
        <v>#N/A</v>
      </c>
      <c r="P102" s="11"/>
      <c r="S102" s="9"/>
      <c r="T102" s="9"/>
      <c r="U102" s="9"/>
      <c r="V102" s="9"/>
      <c r="AK102" s="10" t="n">
        <f aca="false">B102</f>
        <v>0</v>
      </c>
      <c r="AL102" s="10" t="n">
        <f aca="false">C102</f>
        <v>0</v>
      </c>
      <c r="AM102" s="10" t="n">
        <f aca="false">D102</f>
        <v>0</v>
      </c>
      <c r="AN102" s="10" t="n">
        <f aca="false">E102</f>
        <v>0</v>
      </c>
      <c r="AO102" s="10" t="n">
        <f aca="false">F102</f>
        <v>0</v>
      </c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1"/>
      <c r="G103" s="11"/>
      <c r="H103" s="11"/>
      <c r="I103" s="11"/>
      <c r="J103" s="11"/>
      <c r="K103" s="11"/>
      <c r="L103" s="11"/>
      <c r="M103" s="11"/>
      <c r="N103" s="11"/>
      <c r="O103" s="11" t="e">
        <f aca="false">VLOOKUP(D103,'DATABASE RO'!$B$3:$M$110,12,0)</f>
        <v>#N/A</v>
      </c>
      <c r="P103" s="11"/>
      <c r="S103" s="9"/>
      <c r="T103" s="9"/>
      <c r="U103" s="9"/>
      <c r="V103" s="9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1"/>
      <c r="G104" s="11"/>
      <c r="H104" s="11"/>
      <c r="I104" s="11"/>
      <c r="J104" s="11"/>
      <c r="K104" s="11"/>
      <c r="L104" s="11"/>
      <c r="M104" s="11"/>
      <c r="N104" s="11"/>
      <c r="O104" s="11" t="e">
        <f aca="false">VLOOKUP(D104,'DATABASE RO'!$B$3:$M$110,12,0)</f>
        <v>#N/A</v>
      </c>
      <c r="P104" s="11"/>
      <c r="S104" s="9"/>
      <c r="T104" s="9"/>
      <c r="U104" s="9"/>
      <c r="V104" s="9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1"/>
      <c r="G105" s="11"/>
      <c r="H105" s="11"/>
      <c r="I105" s="11"/>
      <c r="J105" s="11"/>
      <c r="K105" s="11"/>
      <c r="L105" s="11"/>
      <c r="M105" s="11"/>
      <c r="N105" s="11"/>
      <c r="O105" s="11" t="e">
        <f aca="false">VLOOKUP(D105,'DATABASE RO'!$B$3:$M$110,12,0)</f>
        <v>#N/A</v>
      </c>
      <c r="P105" s="11"/>
      <c r="S105" s="9"/>
      <c r="T105" s="9"/>
      <c r="U105" s="9"/>
      <c r="V105" s="9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1"/>
      <c r="G106" s="11"/>
      <c r="H106" s="11"/>
      <c r="I106" s="11"/>
      <c r="J106" s="11"/>
      <c r="K106" s="11"/>
      <c r="L106" s="11"/>
      <c r="M106" s="11"/>
      <c r="N106" s="11"/>
      <c r="O106" s="11" t="e">
        <f aca="false">VLOOKUP(D106,'DATABASE RO'!$B$3:$M$110,12,0)</f>
        <v>#N/A</v>
      </c>
      <c r="P106" s="11"/>
      <c r="S106" s="9"/>
      <c r="T106" s="9"/>
      <c r="U106" s="9"/>
      <c r="V106" s="9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1"/>
      <c r="G107" s="11"/>
      <c r="H107" s="11"/>
      <c r="I107" s="11"/>
      <c r="J107" s="11"/>
      <c r="K107" s="11"/>
      <c r="L107" s="11"/>
      <c r="M107" s="11"/>
      <c r="N107" s="11"/>
      <c r="O107" s="11" t="e">
        <f aca="false">VLOOKUP(D107,'DATABASE RO'!$B$3:$M$110,12,0)</f>
        <v>#N/A</v>
      </c>
      <c r="P107" s="11"/>
      <c r="S107" s="9"/>
      <c r="T107" s="9"/>
      <c r="U107" s="9"/>
      <c r="V107" s="9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1"/>
      <c r="G108" s="11"/>
      <c r="H108" s="11"/>
      <c r="I108" s="11"/>
      <c r="J108" s="11"/>
      <c r="K108" s="11"/>
      <c r="L108" s="11"/>
      <c r="M108" s="11"/>
      <c r="N108" s="11"/>
      <c r="O108" s="11" t="e">
        <f aca="false">VLOOKUP(D108,'DATABASE RO'!$B$3:$M$110,12,0)</f>
        <v>#N/A</v>
      </c>
      <c r="P108" s="11"/>
      <c r="S108" s="9"/>
      <c r="T108" s="9"/>
      <c r="U108" s="9"/>
      <c r="V108" s="9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1"/>
      <c r="G109" s="11"/>
      <c r="H109" s="11"/>
      <c r="I109" s="11"/>
      <c r="J109" s="11"/>
      <c r="K109" s="11"/>
      <c r="L109" s="11"/>
      <c r="M109" s="11"/>
      <c r="N109" s="11"/>
      <c r="O109" s="11" t="e">
        <f aca="false">VLOOKUP(D109,'DATABASE RO'!$B$3:$M$110,12,0)</f>
        <v>#N/A</v>
      </c>
      <c r="P109" s="11"/>
      <c r="S109" s="9"/>
      <c r="T109" s="9"/>
      <c r="U109" s="9"/>
      <c r="V109" s="9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1"/>
      <c r="G110" s="11"/>
      <c r="H110" s="11"/>
      <c r="I110" s="11"/>
      <c r="J110" s="11"/>
      <c r="K110" s="11"/>
      <c r="L110" s="11"/>
      <c r="M110" s="11"/>
      <c r="N110" s="11"/>
      <c r="O110" s="11" t="e">
        <f aca="false">VLOOKUP(D110,'DATABASE RO'!$B$3:$M$110,12,0)</f>
        <v>#N/A</v>
      </c>
      <c r="P110" s="11"/>
      <c r="S110" s="9"/>
      <c r="T110" s="9"/>
      <c r="U110" s="9"/>
      <c r="V110" s="9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1"/>
      <c r="G111" s="11"/>
      <c r="H111" s="11"/>
      <c r="I111" s="11"/>
      <c r="J111" s="11"/>
      <c r="K111" s="11"/>
      <c r="L111" s="11"/>
      <c r="M111" s="11"/>
      <c r="N111" s="11"/>
      <c r="O111" s="11" t="e">
        <f aca="false">VLOOKUP(D111,'DATABASE RO'!$B$3:$M$110,12,0)</f>
        <v>#N/A</v>
      </c>
      <c r="P111" s="11"/>
      <c r="S111" s="9"/>
      <c r="T111" s="9"/>
      <c r="U111" s="9"/>
      <c r="V111" s="9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S112" s="9"/>
      <c r="T112" s="9"/>
      <c r="U112" s="9"/>
      <c r="V112" s="9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S113" s="9"/>
      <c r="T113" s="9"/>
      <c r="U113" s="9"/>
      <c r="V113" s="9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S114" s="9"/>
      <c r="T114" s="9"/>
      <c r="U114" s="9"/>
      <c r="V114" s="9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S115" s="9"/>
      <c r="T115" s="9"/>
      <c r="U115" s="9"/>
      <c r="V115" s="9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S116" s="9"/>
      <c r="T116" s="9"/>
      <c r="U116" s="9"/>
      <c r="V116" s="9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S117" s="9"/>
      <c r="T117" s="9"/>
      <c r="U117" s="9"/>
      <c r="V117" s="9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S118" s="9"/>
      <c r="T118" s="9"/>
      <c r="U118" s="9"/>
      <c r="V118" s="9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S119" s="9"/>
      <c r="T119" s="9"/>
      <c r="U119" s="9"/>
      <c r="V119" s="9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S120" s="9"/>
      <c r="T120" s="9"/>
      <c r="U120" s="9"/>
      <c r="V120" s="9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S121" s="9"/>
      <c r="T121" s="9"/>
      <c r="U121" s="9"/>
      <c r="V121" s="9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S122" s="9"/>
      <c r="T122" s="9"/>
      <c r="U122" s="9"/>
      <c r="V122" s="9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S123" s="9"/>
      <c r="T123" s="9"/>
      <c r="U123" s="9"/>
      <c r="V123" s="9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S124" s="9"/>
      <c r="T124" s="9"/>
      <c r="U124" s="9"/>
      <c r="V124" s="9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S125" s="9"/>
      <c r="T125" s="9"/>
      <c r="U125" s="9"/>
      <c r="V125" s="9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S126" s="9"/>
      <c r="T126" s="9"/>
      <c r="U126" s="9"/>
      <c r="V126" s="9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S127" s="9"/>
      <c r="T127" s="9"/>
      <c r="U127" s="9"/>
      <c r="V127" s="9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customFormat="false" ht="15.75" hidden="false" customHeight="true" outlineLevel="0" collapsed="false">
      <c r="A408" s="12"/>
      <c r="B408" s="12"/>
      <c r="C408" s="12"/>
      <c r="D408" s="12"/>
      <c r="E408" s="12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customFormat="false" ht="15.75" hidden="false" customHeight="true" outlineLevel="0" collapsed="false">
      <c r="A409" s="12"/>
      <c r="B409" s="12"/>
      <c r="C409" s="12"/>
      <c r="D409" s="12"/>
      <c r="E409" s="12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customFormat="false" ht="15.75" hidden="false" customHeight="true" outlineLevel="0" collapsed="false">
      <c r="A410" s="12"/>
      <c r="B410" s="12"/>
      <c r="C410" s="12"/>
      <c r="D410" s="12"/>
      <c r="E410" s="12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 customFormat="false" ht="15.75" hidden="false" customHeight="true" outlineLevel="0" collapsed="false">
      <c r="A411" s="12"/>
      <c r="B411" s="12"/>
      <c r="C411" s="12"/>
      <c r="D411" s="12"/>
      <c r="E411" s="12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 customFormat="false" ht="15.75" hidden="false" customHeight="true" outlineLevel="0" collapsed="false">
      <c r="A412" s="12"/>
      <c r="B412" s="12"/>
      <c r="C412" s="12"/>
      <c r="D412" s="12"/>
      <c r="E412" s="12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 customFormat="false" ht="15.75" hidden="false" customHeight="true" outlineLevel="0" collapsed="false">
      <c r="A413" s="12"/>
      <c r="B413" s="12"/>
      <c r="C413" s="12"/>
      <c r="D413" s="12"/>
      <c r="E413" s="12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customFormat="false" ht="15.75" hidden="false" customHeight="true" outlineLevel="0" collapsed="false">
      <c r="A414" s="12"/>
      <c r="B414" s="12"/>
      <c r="C414" s="12"/>
      <c r="D414" s="12"/>
      <c r="E414" s="12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customFormat="false" ht="15.75" hidden="false" customHeight="true" outlineLevel="0" collapsed="false">
      <c r="A415" s="12"/>
      <c r="B415" s="12"/>
      <c r="C415" s="12"/>
      <c r="D415" s="12"/>
      <c r="E415" s="12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 customFormat="false" ht="15.75" hidden="false" customHeight="true" outlineLevel="0" collapsed="false">
      <c r="A416" s="12"/>
      <c r="B416" s="12"/>
      <c r="C416" s="12"/>
      <c r="D416" s="12"/>
      <c r="E416" s="12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 customFormat="false" ht="15.75" hidden="false" customHeight="true" outlineLevel="0" collapsed="false">
      <c r="A417" s="12"/>
      <c r="B417" s="12"/>
      <c r="C417" s="12"/>
      <c r="D417" s="12"/>
      <c r="E417" s="12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 customFormat="false" ht="15.75" hidden="false" customHeight="true" outlineLevel="0" collapsed="false">
      <c r="A418" s="12"/>
      <c r="B418" s="12"/>
      <c r="C418" s="12"/>
      <c r="D418" s="12"/>
      <c r="E418" s="12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 customFormat="false" ht="15.75" hidden="false" customHeight="true" outlineLevel="0" collapsed="false">
      <c r="A419" s="12"/>
      <c r="B419" s="12"/>
      <c r="C419" s="12"/>
      <c r="D419" s="12"/>
      <c r="E419" s="12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 customFormat="false" ht="15.75" hidden="false" customHeight="true" outlineLevel="0" collapsed="false">
      <c r="A420" s="12"/>
      <c r="B420" s="12"/>
      <c r="C420" s="12"/>
      <c r="D420" s="12"/>
      <c r="E420" s="12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 customFormat="false" ht="15.75" hidden="false" customHeight="true" outlineLevel="0" collapsed="false">
      <c r="A421" s="12"/>
      <c r="B421" s="12"/>
      <c r="C421" s="12"/>
      <c r="D421" s="12"/>
      <c r="E421" s="12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customFormat="false" ht="15.75" hidden="false" customHeight="true" outlineLevel="0" collapsed="false">
      <c r="A422" s="12"/>
      <c r="B422" s="12"/>
      <c r="C422" s="12"/>
      <c r="D422" s="12"/>
      <c r="E422" s="12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customFormat="false" ht="15.75" hidden="false" customHeight="true" outlineLevel="0" collapsed="false">
      <c r="A423" s="12"/>
      <c r="B423" s="12"/>
      <c r="C423" s="12"/>
      <c r="D423" s="12"/>
      <c r="E423" s="12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 customFormat="false" ht="15.75" hidden="false" customHeight="true" outlineLevel="0" collapsed="false">
      <c r="A424" s="12"/>
      <c r="B424" s="12"/>
      <c r="C424" s="12"/>
      <c r="D424" s="12"/>
      <c r="E424" s="12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customFormat="false" ht="15.75" hidden="false" customHeight="true" outlineLevel="0" collapsed="false">
      <c r="A425" s="12"/>
      <c r="B425" s="12"/>
      <c r="C425" s="12"/>
      <c r="D425" s="12"/>
      <c r="E425" s="12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customFormat="false" ht="15.75" hidden="false" customHeight="true" outlineLevel="0" collapsed="false">
      <c r="A426" s="12"/>
      <c r="B426" s="12"/>
      <c r="C426" s="12"/>
      <c r="D426" s="12"/>
      <c r="E426" s="12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customFormat="false" ht="15.75" hidden="false" customHeight="true" outlineLevel="0" collapsed="false">
      <c r="A427" s="12"/>
      <c r="B427" s="12"/>
      <c r="C427" s="12"/>
      <c r="D427" s="12"/>
      <c r="E427" s="12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customFormat="false" ht="15.75" hidden="false" customHeight="true" outlineLevel="0" collapsed="false">
      <c r="A428" s="12"/>
      <c r="B428" s="12"/>
      <c r="C428" s="12"/>
      <c r="D428" s="12"/>
      <c r="E428" s="12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 customFormat="false" ht="15.75" hidden="false" customHeight="true" outlineLevel="0" collapsed="false">
      <c r="A429" s="12"/>
      <c r="B429" s="12"/>
      <c r="C429" s="12"/>
      <c r="D429" s="12"/>
      <c r="E429" s="12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 customFormat="false" ht="15.75" hidden="false" customHeight="true" outlineLevel="0" collapsed="false">
      <c r="A430" s="12"/>
      <c r="B430" s="12"/>
      <c r="C430" s="12"/>
      <c r="D430" s="12"/>
      <c r="E430" s="12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customFormat="false" ht="15.75" hidden="false" customHeight="true" outlineLevel="0" collapsed="false">
      <c r="A431" s="12"/>
      <c r="B431" s="12"/>
      <c r="C431" s="12"/>
      <c r="D431" s="12"/>
      <c r="E431" s="12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 customFormat="false" ht="15.75" hidden="false" customHeight="true" outlineLevel="0" collapsed="false">
      <c r="A432" s="12"/>
      <c r="B432" s="12"/>
      <c r="C432" s="12"/>
      <c r="D432" s="12"/>
      <c r="E432" s="12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 customFormat="false" ht="15.75" hidden="false" customHeight="true" outlineLevel="0" collapsed="false">
      <c r="A433" s="12"/>
      <c r="B433" s="12"/>
      <c r="C433" s="12"/>
      <c r="D433" s="12"/>
      <c r="E433" s="12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customFormat="false" ht="15.75" hidden="false" customHeight="true" outlineLevel="0" collapsed="false">
      <c r="A434" s="12"/>
      <c r="B434" s="12"/>
      <c r="C434" s="12"/>
      <c r="D434" s="12"/>
      <c r="E434" s="12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customFormat="false" ht="15.75" hidden="false" customHeight="true" outlineLevel="0" collapsed="false">
      <c r="A435" s="12"/>
      <c r="B435" s="12"/>
      <c r="C435" s="12"/>
      <c r="D435" s="12"/>
      <c r="E435" s="12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customFormat="false" ht="15.75" hidden="false" customHeight="true" outlineLevel="0" collapsed="false">
      <c r="A436" s="12"/>
      <c r="B436" s="12"/>
      <c r="C436" s="12"/>
      <c r="D436" s="12"/>
      <c r="E436" s="12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customFormat="false" ht="15.75" hidden="false" customHeight="true" outlineLevel="0" collapsed="false">
      <c r="A437" s="12"/>
      <c r="B437" s="12"/>
      <c r="C437" s="12"/>
      <c r="D437" s="12"/>
      <c r="E437" s="12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customFormat="false" ht="15.75" hidden="false" customHeight="true" outlineLevel="0" collapsed="false">
      <c r="A438" s="12"/>
      <c r="B438" s="12"/>
      <c r="C438" s="12"/>
      <c r="D438" s="12"/>
      <c r="E438" s="12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customFormat="false" ht="15.75" hidden="false" customHeight="true" outlineLevel="0" collapsed="false">
      <c r="A439" s="12"/>
      <c r="B439" s="12"/>
      <c r="C439" s="12"/>
      <c r="D439" s="12"/>
      <c r="E439" s="12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customFormat="false" ht="15.75" hidden="false" customHeight="true" outlineLevel="0" collapsed="false">
      <c r="A440" s="12"/>
      <c r="B440" s="12"/>
      <c r="C440" s="12"/>
      <c r="D440" s="12"/>
      <c r="E440" s="12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customFormat="false" ht="15.75" hidden="false" customHeight="true" outlineLevel="0" collapsed="false">
      <c r="A441" s="12"/>
      <c r="B441" s="12"/>
      <c r="C441" s="12"/>
      <c r="D441" s="12"/>
      <c r="E441" s="12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customFormat="false" ht="15.75" hidden="false" customHeight="true" outlineLevel="0" collapsed="false">
      <c r="A442" s="12"/>
      <c r="B442" s="12"/>
      <c r="C442" s="12"/>
      <c r="D442" s="12"/>
      <c r="E442" s="12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customFormat="false" ht="15.75" hidden="false" customHeight="true" outlineLevel="0" collapsed="false">
      <c r="A443" s="12"/>
      <c r="B443" s="12"/>
      <c r="C443" s="12"/>
      <c r="D443" s="12"/>
      <c r="E443" s="12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customFormat="false" ht="15.75" hidden="false" customHeight="true" outlineLevel="0" collapsed="false">
      <c r="A444" s="12"/>
      <c r="B444" s="12"/>
      <c r="C444" s="12"/>
      <c r="D444" s="12"/>
      <c r="E444" s="12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customFormat="false" ht="15.75" hidden="false" customHeight="true" outlineLevel="0" collapsed="false">
      <c r="A445" s="12"/>
      <c r="B445" s="12"/>
      <c r="C445" s="12"/>
      <c r="D445" s="12"/>
      <c r="E445" s="12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customFormat="false" ht="15.75" hidden="false" customHeight="true" outlineLevel="0" collapsed="false">
      <c r="A446" s="12"/>
      <c r="B446" s="12"/>
      <c r="C446" s="12"/>
      <c r="D446" s="12"/>
      <c r="E446" s="12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customFormat="false" ht="15.75" hidden="false" customHeight="true" outlineLevel="0" collapsed="false">
      <c r="A447" s="12"/>
      <c r="B447" s="12"/>
      <c r="C447" s="12"/>
      <c r="D447" s="12"/>
      <c r="E447" s="12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customFormat="false" ht="15.75" hidden="false" customHeight="true" outlineLevel="0" collapsed="false">
      <c r="A448" s="12"/>
      <c r="B448" s="12"/>
      <c r="C448" s="12"/>
      <c r="D448" s="12"/>
      <c r="E448" s="12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customFormat="false" ht="15.75" hidden="false" customHeight="true" outlineLevel="0" collapsed="false">
      <c r="A449" s="12"/>
      <c r="B449" s="12"/>
      <c r="C449" s="12"/>
      <c r="D449" s="12"/>
      <c r="E449" s="12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customFormat="false" ht="15.75" hidden="false" customHeight="true" outlineLevel="0" collapsed="false">
      <c r="A450" s="12"/>
      <c r="B450" s="12"/>
      <c r="C450" s="12"/>
      <c r="D450" s="12"/>
      <c r="E450" s="12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customFormat="false" ht="15.75" hidden="false" customHeight="true" outlineLevel="0" collapsed="false">
      <c r="A451" s="12"/>
      <c r="B451" s="12"/>
      <c r="C451" s="12"/>
      <c r="D451" s="12"/>
      <c r="E451" s="12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customFormat="false" ht="15.75" hidden="false" customHeight="true" outlineLevel="0" collapsed="false">
      <c r="A452" s="12"/>
      <c r="B452" s="12"/>
      <c r="C452" s="12"/>
      <c r="D452" s="12"/>
      <c r="E452" s="12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customFormat="false" ht="15.75" hidden="false" customHeight="true" outlineLevel="0" collapsed="false">
      <c r="A453" s="12"/>
      <c r="B453" s="12"/>
      <c r="C453" s="12"/>
      <c r="D453" s="12"/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customFormat="false" ht="15.75" hidden="false" customHeight="true" outlineLevel="0" collapsed="false">
      <c r="A454" s="12"/>
      <c r="B454" s="12"/>
      <c r="C454" s="12"/>
      <c r="D454" s="12"/>
      <c r="E454" s="12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customFormat="false" ht="15.75" hidden="false" customHeight="true" outlineLevel="0" collapsed="false">
      <c r="A455" s="12"/>
      <c r="B455" s="12"/>
      <c r="C455" s="12"/>
      <c r="D455" s="12"/>
      <c r="E455" s="12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customFormat="false" ht="15.75" hidden="false" customHeight="true" outlineLevel="0" collapsed="false">
      <c r="A456" s="12"/>
      <c r="B456" s="12"/>
      <c r="C456" s="12"/>
      <c r="D456" s="12"/>
      <c r="E456" s="12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customFormat="false" ht="15.75" hidden="false" customHeight="true" outlineLevel="0" collapsed="false">
      <c r="A457" s="12"/>
      <c r="B457" s="12"/>
      <c r="C457" s="12"/>
      <c r="D457" s="12"/>
      <c r="E457" s="12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customFormat="false" ht="15.75" hidden="false" customHeight="true" outlineLevel="0" collapsed="false">
      <c r="A458" s="12"/>
      <c r="B458" s="12"/>
      <c r="C458" s="12"/>
      <c r="D458" s="12"/>
      <c r="E458" s="12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customFormat="false" ht="15.75" hidden="false" customHeight="true" outlineLevel="0" collapsed="false">
      <c r="A459" s="12"/>
      <c r="B459" s="12"/>
      <c r="C459" s="12"/>
      <c r="D459" s="12"/>
      <c r="E459" s="12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customFormat="false" ht="15.75" hidden="false" customHeight="true" outlineLevel="0" collapsed="false">
      <c r="A460" s="12"/>
      <c r="B460" s="12"/>
      <c r="C460" s="12"/>
      <c r="D460" s="12"/>
      <c r="E460" s="12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customFormat="false" ht="15.75" hidden="false" customHeight="true" outlineLevel="0" collapsed="false">
      <c r="A461" s="12"/>
      <c r="B461" s="12"/>
      <c r="C461" s="12"/>
      <c r="D461" s="12"/>
      <c r="E461" s="12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customFormat="false" ht="15.75" hidden="false" customHeight="true" outlineLevel="0" collapsed="false">
      <c r="A462" s="12"/>
      <c r="B462" s="12"/>
      <c r="C462" s="12"/>
      <c r="D462" s="12"/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customFormat="false" ht="15.75" hidden="false" customHeight="true" outlineLevel="0" collapsed="false">
      <c r="A463" s="12"/>
      <c r="B463" s="12"/>
      <c r="C463" s="12"/>
      <c r="D463" s="12"/>
      <c r="E463" s="12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customFormat="false" ht="15.75" hidden="false" customHeight="true" outlineLevel="0" collapsed="false">
      <c r="A464" s="12"/>
      <c r="B464" s="12"/>
      <c r="C464" s="12"/>
      <c r="D464" s="12"/>
      <c r="E464" s="12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customFormat="false" ht="15.75" hidden="false" customHeight="true" outlineLevel="0" collapsed="false">
      <c r="A465" s="12"/>
      <c r="B465" s="12"/>
      <c r="C465" s="12"/>
      <c r="D465" s="12"/>
      <c r="E465" s="12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customFormat="false" ht="15.75" hidden="false" customHeight="true" outlineLevel="0" collapsed="false">
      <c r="A466" s="12"/>
      <c r="B466" s="12"/>
      <c r="C466" s="12"/>
      <c r="D466" s="12"/>
      <c r="E466" s="12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customFormat="false" ht="15.75" hidden="false" customHeight="true" outlineLevel="0" collapsed="false">
      <c r="A467" s="12"/>
      <c r="B467" s="12"/>
      <c r="C467" s="12"/>
      <c r="D467" s="12"/>
      <c r="E467" s="12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customFormat="false" ht="15.75" hidden="false" customHeight="true" outlineLevel="0" collapsed="false">
      <c r="A468" s="12"/>
      <c r="B468" s="12"/>
      <c r="C468" s="12"/>
      <c r="D468" s="12"/>
      <c r="E468" s="12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customFormat="false" ht="15.75" hidden="false" customHeight="true" outlineLevel="0" collapsed="false">
      <c r="A469" s="12"/>
      <c r="B469" s="12"/>
      <c r="C469" s="12"/>
      <c r="D469" s="12"/>
      <c r="E469" s="12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customFormat="false" ht="15.75" hidden="false" customHeight="true" outlineLevel="0" collapsed="false">
      <c r="A470" s="12"/>
      <c r="B470" s="12"/>
      <c r="C470" s="12"/>
      <c r="D470" s="12"/>
      <c r="E470" s="12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customFormat="false" ht="15.75" hidden="false" customHeight="true" outlineLevel="0" collapsed="false">
      <c r="A471" s="12"/>
      <c r="B471" s="12"/>
      <c r="C471" s="12"/>
      <c r="D471" s="12"/>
      <c r="E471" s="12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customFormat="false" ht="15.75" hidden="false" customHeight="true" outlineLevel="0" collapsed="false">
      <c r="A472" s="12"/>
      <c r="B472" s="12"/>
      <c r="C472" s="12"/>
      <c r="D472" s="12"/>
      <c r="E472" s="12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customFormat="false" ht="15.75" hidden="false" customHeight="true" outlineLevel="0" collapsed="false">
      <c r="A473" s="12"/>
      <c r="B473" s="12"/>
      <c r="C473" s="12"/>
      <c r="D473" s="12"/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customFormat="false" ht="15.75" hidden="false" customHeight="true" outlineLevel="0" collapsed="false">
      <c r="A474" s="12"/>
      <c r="B474" s="12"/>
      <c r="C474" s="12"/>
      <c r="D474" s="12"/>
      <c r="E474" s="12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customFormat="false" ht="15.75" hidden="false" customHeight="true" outlineLevel="0" collapsed="false">
      <c r="A475" s="12"/>
      <c r="B475" s="12"/>
      <c r="C475" s="12"/>
      <c r="D475" s="12"/>
      <c r="E475" s="12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customFormat="false" ht="15.75" hidden="false" customHeight="true" outlineLevel="0" collapsed="false">
      <c r="A476" s="12"/>
      <c r="B476" s="12"/>
      <c r="C476" s="12"/>
      <c r="D476" s="12"/>
      <c r="E476" s="12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customFormat="false" ht="15.75" hidden="false" customHeight="true" outlineLevel="0" collapsed="false">
      <c r="A477" s="12"/>
      <c r="B477" s="12"/>
      <c r="C477" s="12"/>
      <c r="D477" s="12"/>
      <c r="E477" s="12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customFormat="false" ht="15.75" hidden="false" customHeight="true" outlineLevel="0" collapsed="false">
      <c r="A478" s="12"/>
      <c r="B478" s="12"/>
      <c r="C478" s="12"/>
      <c r="D478" s="12"/>
      <c r="E478" s="12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customFormat="false" ht="15.75" hidden="false" customHeight="true" outlineLevel="0" collapsed="false">
      <c r="A479" s="12"/>
      <c r="B479" s="12"/>
      <c r="C479" s="12"/>
      <c r="D479" s="12"/>
      <c r="E479" s="12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customFormat="false" ht="15.75" hidden="false" customHeight="true" outlineLevel="0" collapsed="false">
      <c r="A480" s="12"/>
      <c r="B480" s="12"/>
      <c r="C480" s="12"/>
      <c r="D480" s="12"/>
      <c r="E480" s="12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customFormat="false" ht="15.75" hidden="false" customHeight="true" outlineLevel="0" collapsed="false">
      <c r="A481" s="12"/>
      <c r="B481" s="12"/>
      <c r="C481" s="12"/>
      <c r="D481" s="12"/>
      <c r="E481" s="12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customFormat="false" ht="15.75" hidden="false" customHeight="true" outlineLevel="0" collapsed="false">
      <c r="A482" s="12"/>
      <c r="B482" s="12"/>
      <c r="C482" s="12"/>
      <c r="D482" s="12"/>
      <c r="E482" s="12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customFormat="false" ht="15.75" hidden="false" customHeight="true" outlineLevel="0" collapsed="false">
      <c r="A483" s="12"/>
      <c r="B483" s="12"/>
      <c r="C483" s="12"/>
      <c r="D483" s="12"/>
      <c r="E483" s="12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customFormat="false" ht="15.75" hidden="false" customHeight="true" outlineLevel="0" collapsed="false">
      <c r="A484" s="12"/>
      <c r="B484" s="12"/>
      <c r="C484" s="12"/>
      <c r="D484" s="12"/>
      <c r="E484" s="12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customFormat="false" ht="15.75" hidden="false" customHeight="true" outlineLevel="0" collapsed="false">
      <c r="A485" s="12"/>
      <c r="B485" s="12"/>
      <c r="C485" s="12"/>
      <c r="D485" s="12"/>
      <c r="E485" s="12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customFormat="false" ht="15.75" hidden="false" customHeight="true" outlineLevel="0" collapsed="false">
      <c r="A486" s="12"/>
      <c r="B486" s="12"/>
      <c r="C486" s="12"/>
      <c r="D486" s="12"/>
      <c r="E486" s="12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customFormat="false" ht="15.75" hidden="false" customHeight="true" outlineLevel="0" collapsed="false">
      <c r="A487" s="12"/>
      <c r="B487" s="12"/>
      <c r="C487" s="12"/>
      <c r="D487" s="12"/>
      <c r="E487" s="12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customFormat="false" ht="15.75" hidden="false" customHeight="true" outlineLevel="0" collapsed="false">
      <c r="A488" s="12"/>
      <c r="B488" s="12"/>
      <c r="C488" s="12"/>
      <c r="D488" s="12"/>
      <c r="E488" s="12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customFormat="false" ht="15.75" hidden="false" customHeight="true" outlineLevel="0" collapsed="false">
      <c r="A489" s="12"/>
      <c r="B489" s="12"/>
      <c r="C489" s="12"/>
      <c r="D489" s="12"/>
      <c r="E489" s="12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customFormat="false" ht="15.75" hidden="false" customHeight="true" outlineLevel="0" collapsed="false">
      <c r="A490" s="12"/>
      <c r="B490" s="12"/>
      <c r="C490" s="12"/>
      <c r="D490" s="12"/>
      <c r="E490" s="12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customFormat="false" ht="15.75" hidden="false" customHeight="true" outlineLevel="0" collapsed="false">
      <c r="A491" s="12"/>
      <c r="B491" s="12"/>
      <c r="C491" s="12"/>
      <c r="D491" s="12"/>
      <c r="E491" s="12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customFormat="false" ht="15.75" hidden="false" customHeight="true" outlineLevel="0" collapsed="false">
      <c r="A492" s="12"/>
      <c r="B492" s="12"/>
      <c r="C492" s="12"/>
      <c r="D492" s="12"/>
      <c r="E492" s="12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customFormat="false" ht="15.75" hidden="false" customHeight="true" outlineLevel="0" collapsed="false">
      <c r="A493" s="12"/>
      <c r="B493" s="12"/>
      <c r="C493" s="12"/>
      <c r="D493" s="12"/>
      <c r="E493" s="12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customFormat="false" ht="15.75" hidden="false" customHeight="true" outlineLevel="0" collapsed="false">
      <c r="A494" s="12"/>
      <c r="B494" s="12"/>
      <c r="C494" s="12"/>
      <c r="D494" s="12"/>
      <c r="E494" s="12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customFormat="false" ht="15.75" hidden="false" customHeight="true" outlineLevel="0" collapsed="false">
      <c r="A495" s="12"/>
      <c r="B495" s="12"/>
      <c r="C495" s="12"/>
      <c r="D495" s="12"/>
      <c r="E495" s="12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customFormat="false" ht="15.75" hidden="false" customHeight="true" outlineLevel="0" collapsed="false">
      <c r="A496" s="12"/>
      <c r="B496" s="12"/>
      <c r="C496" s="12"/>
      <c r="D496" s="12"/>
      <c r="E496" s="12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customFormat="false" ht="15.75" hidden="false" customHeight="true" outlineLevel="0" collapsed="false">
      <c r="A497" s="12"/>
      <c r="B497" s="12"/>
      <c r="C497" s="12"/>
      <c r="D497" s="12"/>
      <c r="E497" s="12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customFormat="false" ht="15.75" hidden="false" customHeight="true" outlineLevel="0" collapsed="false">
      <c r="A498" s="12"/>
      <c r="B498" s="12"/>
      <c r="C498" s="12"/>
      <c r="D498" s="12"/>
      <c r="E498" s="12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customFormat="false" ht="15.75" hidden="false" customHeight="true" outlineLevel="0" collapsed="false">
      <c r="A499" s="12"/>
      <c r="B499" s="12"/>
      <c r="C499" s="12"/>
      <c r="D499" s="12"/>
      <c r="E499" s="12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customFormat="false" ht="15.75" hidden="false" customHeight="true" outlineLevel="0" collapsed="false">
      <c r="A500" s="12"/>
      <c r="B500" s="12"/>
      <c r="C500" s="12"/>
      <c r="D500" s="12"/>
      <c r="E500" s="12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customFormat="false" ht="15.75" hidden="false" customHeight="true" outlineLevel="0" collapsed="false">
      <c r="A501" s="12"/>
      <c r="B501" s="12"/>
      <c r="C501" s="12"/>
      <c r="D501" s="12"/>
      <c r="E501" s="12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customFormat="false" ht="15.75" hidden="false" customHeight="true" outlineLevel="0" collapsed="false">
      <c r="A502" s="12"/>
      <c r="B502" s="12"/>
      <c r="C502" s="12"/>
      <c r="D502" s="12"/>
      <c r="E502" s="12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customFormat="false" ht="15.75" hidden="false" customHeight="true" outlineLevel="0" collapsed="false">
      <c r="A503" s="12"/>
      <c r="B503" s="12"/>
      <c r="C503" s="12"/>
      <c r="D503" s="12"/>
      <c r="E503" s="12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customFormat="false" ht="15.75" hidden="false" customHeight="true" outlineLevel="0" collapsed="false">
      <c r="A504" s="12"/>
      <c r="B504" s="12"/>
      <c r="C504" s="12"/>
      <c r="D504" s="12"/>
      <c r="E504" s="12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customFormat="false" ht="15.75" hidden="false" customHeight="true" outlineLevel="0" collapsed="false">
      <c r="A505" s="12"/>
      <c r="B505" s="12"/>
      <c r="C505" s="12"/>
      <c r="D505" s="12"/>
      <c r="E505" s="12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customFormat="false" ht="15.75" hidden="false" customHeight="true" outlineLevel="0" collapsed="false">
      <c r="A506" s="12"/>
      <c r="B506" s="12"/>
      <c r="C506" s="12"/>
      <c r="D506" s="12"/>
      <c r="E506" s="12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customFormat="false" ht="15.75" hidden="false" customHeight="true" outlineLevel="0" collapsed="false">
      <c r="A507" s="12"/>
      <c r="B507" s="12"/>
      <c r="C507" s="12"/>
      <c r="D507" s="12"/>
      <c r="E507" s="12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customFormat="false" ht="15.75" hidden="false" customHeight="true" outlineLevel="0" collapsed="false">
      <c r="A508" s="12"/>
      <c r="B508" s="12"/>
      <c r="C508" s="12"/>
      <c r="D508" s="12"/>
      <c r="E508" s="12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customFormat="false" ht="15.75" hidden="false" customHeight="true" outlineLevel="0" collapsed="false">
      <c r="A509" s="12"/>
      <c r="B509" s="12"/>
      <c r="C509" s="12"/>
      <c r="D509" s="12"/>
      <c r="E509" s="12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customFormat="false" ht="15.75" hidden="false" customHeight="true" outlineLevel="0" collapsed="false">
      <c r="A510" s="12"/>
      <c r="B510" s="12"/>
      <c r="C510" s="12"/>
      <c r="D510" s="12"/>
      <c r="E510" s="12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customFormat="false" ht="15.75" hidden="false" customHeight="true" outlineLevel="0" collapsed="false">
      <c r="A511" s="12"/>
      <c r="B511" s="12"/>
      <c r="C511" s="12"/>
      <c r="D511" s="12"/>
      <c r="E511" s="12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customFormat="false" ht="15.75" hidden="false" customHeight="true" outlineLevel="0" collapsed="false">
      <c r="A512" s="12"/>
      <c r="B512" s="12"/>
      <c r="C512" s="12"/>
      <c r="D512" s="12"/>
      <c r="E512" s="12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customFormat="false" ht="15.75" hidden="false" customHeight="true" outlineLevel="0" collapsed="false">
      <c r="A513" s="12"/>
      <c r="B513" s="12"/>
      <c r="C513" s="12"/>
      <c r="D513" s="12"/>
      <c r="E513" s="12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customFormat="false" ht="15.75" hidden="false" customHeight="true" outlineLevel="0" collapsed="false">
      <c r="A514" s="12"/>
      <c r="B514" s="12"/>
      <c r="C514" s="12"/>
      <c r="D514" s="12"/>
      <c r="E514" s="12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customFormat="false" ht="15.75" hidden="false" customHeight="true" outlineLevel="0" collapsed="false">
      <c r="A515" s="12"/>
      <c r="B515" s="12"/>
      <c r="C515" s="12"/>
      <c r="D515" s="12"/>
      <c r="E515" s="12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customFormat="false" ht="15.75" hidden="false" customHeight="true" outlineLevel="0" collapsed="false">
      <c r="A516" s="12"/>
      <c r="B516" s="12"/>
      <c r="C516" s="12"/>
      <c r="D516" s="12"/>
      <c r="E516" s="12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customFormat="false" ht="15.75" hidden="false" customHeight="true" outlineLevel="0" collapsed="false">
      <c r="A517" s="12"/>
      <c r="B517" s="12"/>
      <c r="C517" s="12"/>
      <c r="D517" s="12"/>
      <c r="E517" s="12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customFormat="false" ht="15.75" hidden="false" customHeight="true" outlineLevel="0" collapsed="false">
      <c r="A518" s="12"/>
      <c r="B518" s="12"/>
      <c r="C518" s="12"/>
      <c r="D518" s="12"/>
      <c r="E518" s="12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customFormat="false" ht="15.75" hidden="false" customHeight="true" outlineLevel="0" collapsed="false">
      <c r="A519" s="12"/>
      <c r="B519" s="12"/>
      <c r="C519" s="12"/>
      <c r="D519" s="12"/>
      <c r="E519" s="12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customFormat="false" ht="15.75" hidden="false" customHeight="true" outlineLevel="0" collapsed="false">
      <c r="A520" s="12"/>
      <c r="B520" s="12"/>
      <c r="C520" s="12"/>
      <c r="D520" s="12"/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customFormat="false" ht="15.75" hidden="false" customHeight="true" outlineLevel="0" collapsed="false">
      <c r="A521" s="12"/>
      <c r="B521" s="12"/>
      <c r="C521" s="12"/>
      <c r="D521" s="12"/>
      <c r="E521" s="12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customFormat="false" ht="15.75" hidden="false" customHeight="true" outlineLevel="0" collapsed="false">
      <c r="A522" s="12"/>
      <c r="B522" s="12"/>
      <c r="C522" s="12"/>
      <c r="D522" s="12"/>
      <c r="E522" s="12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customFormat="false" ht="15.75" hidden="false" customHeight="true" outlineLevel="0" collapsed="false">
      <c r="A523" s="12"/>
      <c r="B523" s="12"/>
      <c r="C523" s="12"/>
      <c r="D523" s="12"/>
      <c r="E523" s="12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customFormat="false" ht="15.75" hidden="false" customHeight="true" outlineLevel="0" collapsed="false">
      <c r="A524" s="12"/>
      <c r="B524" s="12"/>
      <c r="C524" s="12"/>
      <c r="D524" s="12"/>
      <c r="E524" s="12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customFormat="false" ht="15.75" hidden="false" customHeight="true" outlineLevel="0" collapsed="false">
      <c r="A525" s="12"/>
      <c r="B525" s="12"/>
      <c r="C525" s="12"/>
      <c r="D525" s="12"/>
      <c r="E525" s="12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customFormat="false" ht="15.75" hidden="false" customHeight="true" outlineLevel="0" collapsed="false">
      <c r="A526" s="12"/>
      <c r="B526" s="12"/>
      <c r="C526" s="12"/>
      <c r="D526" s="12"/>
      <c r="E526" s="12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customFormat="false" ht="15.75" hidden="false" customHeight="true" outlineLevel="0" collapsed="false">
      <c r="A527" s="12"/>
      <c r="B527" s="12"/>
      <c r="C527" s="12"/>
      <c r="D527" s="12"/>
      <c r="E527" s="12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customFormat="false" ht="15.75" hidden="false" customHeight="true" outlineLevel="0" collapsed="false">
      <c r="A528" s="12"/>
      <c r="B528" s="12"/>
      <c r="C528" s="12"/>
      <c r="D528" s="12"/>
      <c r="E528" s="12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customFormat="false" ht="15.75" hidden="false" customHeight="true" outlineLevel="0" collapsed="false">
      <c r="A529" s="12"/>
      <c r="B529" s="12"/>
      <c r="C529" s="12"/>
      <c r="D529" s="12"/>
      <c r="E529" s="12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customFormat="false" ht="15.75" hidden="false" customHeight="true" outlineLevel="0" collapsed="false">
      <c r="A530" s="12"/>
      <c r="B530" s="12"/>
      <c r="C530" s="12"/>
      <c r="D530" s="12"/>
      <c r="E530" s="12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customFormat="false" ht="15.75" hidden="false" customHeight="true" outlineLevel="0" collapsed="false">
      <c r="A531" s="12"/>
      <c r="B531" s="12"/>
      <c r="C531" s="12"/>
      <c r="D531" s="12"/>
      <c r="E531" s="12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customFormat="false" ht="15.75" hidden="false" customHeight="true" outlineLevel="0" collapsed="false">
      <c r="A532" s="12"/>
      <c r="B532" s="12"/>
      <c r="C532" s="12"/>
      <c r="D532" s="12"/>
      <c r="E532" s="12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customFormat="false" ht="15.75" hidden="false" customHeight="true" outlineLevel="0" collapsed="false">
      <c r="A533" s="12"/>
      <c r="B533" s="12"/>
      <c r="C533" s="12"/>
      <c r="D533" s="12"/>
      <c r="E533" s="12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customFormat="false" ht="15.75" hidden="false" customHeight="true" outlineLevel="0" collapsed="false">
      <c r="A534" s="12"/>
      <c r="B534" s="12"/>
      <c r="C534" s="12"/>
      <c r="D534" s="12"/>
      <c r="E534" s="12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customFormat="false" ht="15.75" hidden="false" customHeight="true" outlineLevel="0" collapsed="false">
      <c r="A535" s="12"/>
      <c r="B535" s="12"/>
      <c r="C535" s="12"/>
      <c r="D535" s="12"/>
      <c r="E535" s="12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customFormat="false" ht="15.75" hidden="false" customHeight="true" outlineLevel="0" collapsed="false">
      <c r="A536" s="12"/>
      <c r="B536" s="12"/>
      <c r="C536" s="12"/>
      <c r="D536" s="12"/>
      <c r="E536" s="12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customFormat="false" ht="15.75" hidden="false" customHeight="true" outlineLevel="0" collapsed="false">
      <c r="A537" s="12"/>
      <c r="B537" s="12"/>
      <c r="C537" s="12"/>
      <c r="D537" s="12"/>
      <c r="E537" s="12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customFormat="false" ht="15.75" hidden="false" customHeight="true" outlineLevel="0" collapsed="false">
      <c r="A538" s="12"/>
      <c r="B538" s="12"/>
      <c r="C538" s="12"/>
      <c r="D538" s="12"/>
      <c r="E538" s="12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customFormat="false" ht="15.75" hidden="false" customHeight="true" outlineLevel="0" collapsed="false">
      <c r="A539" s="12"/>
      <c r="B539" s="12"/>
      <c r="C539" s="12"/>
      <c r="D539" s="12"/>
      <c r="E539" s="12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customFormat="false" ht="15.75" hidden="false" customHeight="true" outlineLevel="0" collapsed="false">
      <c r="A540" s="12"/>
      <c r="B540" s="12"/>
      <c r="C540" s="12"/>
      <c r="D540" s="12"/>
      <c r="E540" s="12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customFormat="false" ht="15.75" hidden="false" customHeight="true" outlineLevel="0" collapsed="false">
      <c r="A541" s="12"/>
      <c r="B541" s="12"/>
      <c r="C541" s="12"/>
      <c r="D541" s="12"/>
      <c r="E541" s="12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customFormat="false" ht="15.75" hidden="false" customHeight="true" outlineLevel="0" collapsed="false">
      <c r="A542" s="12"/>
      <c r="B542" s="12"/>
      <c r="C542" s="12"/>
      <c r="D542" s="12"/>
      <c r="E542" s="12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customFormat="false" ht="15.75" hidden="false" customHeight="true" outlineLevel="0" collapsed="false">
      <c r="A543" s="12"/>
      <c r="B543" s="12"/>
      <c r="C543" s="12"/>
      <c r="D543" s="12"/>
      <c r="E543" s="12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customFormat="false" ht="15.75" hidden="false" customHeight="true" outlineLevel="0" collapsed="false">
      <c r="A544" s="12"/>
      <c r="B544" s="12"/>
      <c r="C544" s="12"/>
      <c r="D544" s="12"/>
      <c r="E544" s="12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customFormat="false" ht="15.75" hidden="false" customHeight="true" outlineLevel="0" collapsed="false">
      <c r="A545" s="12"/>
      <c r="B545" s="12"/>
      <c r="C545" s="12"/>
      <c r="D545" s="12"/>
      <c r="E545" s="12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customFormat="false" ht="15.75" hidden="false" customHeight="true" outlineLevel="0" collapsed="false">
      <c r="A546" s="12"/>
      <c r="B546" s="12"/>
      <c r="C546" s="12"/>
      <c r="D546" s="12"/>
      <c r="E546" s="12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customFormat="false" ht="15.75" hidden="false" customHeight="true" outlineLevel="0" collapsed="false">
      <c r="A547" s="12"/>
      <c r="B547" s="12"/>
      <c r="C547" s="12"/>
      <c r="D547" s="12"/>
      <c r="E547" s="12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customFormat="false" ht="15.75" hidden="false" customHeight="true" outlineLevel="0" collapsed="false">
      <c r="A548" s="12"/>
      <c r="B548" s="12"/>
      <c r="C548" s="12"/>
      <c r="D548" s="12"/>
      <c r="E548" s="12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customFormat="false" ht="15.75" hidden="false" customHeight="true" outlineLevel="0" collapsed="false">
      <c r="A549" s="12"/>
      <c r="B549" s="12"/>
      <c r="C549" s="12"/>
      <c r="D549" s="12"/>
      <c r="E549" s="12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customFormat="false" ht="15.75" hidden="false" customHeight="true" outlineLevel="0" collapsed="false">
      <c r="A550" s="12"/>
      <c r="B550" s="12"/>
      <c r="C550" s="12"/>
      <c r="D550" s="12"/>
      <c r="E550" s="12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customFormat="false" ht="15.75" hidden="false" customHeight="true" outlineLevel="0" collapsed="false">
      <c r="A551" s="12"/>
      <c r="B551" s="12"/>
      <c r="C551" s="12"/>
      <c r="D551" s="12"/>
      <c r="E551" s="12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customFormat="false" ht="15.75" hidden="false" customHeight="true" outlineLevel="0" collapsed="false">
      <c r="A552" s="12"/>
      <c r="B552" s="12"/>
      <c r="C552" s="12"/>
      <c r="D552" s="12"/>
      <c r="E552" s="12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customFormat="false" ht="15.75" hidden="false" customHeight="true" outlineLevel="0" collapsed="false">
      <c r="A553" s="12"/>
      <c r="B553" s="12"/>
      <c r="C553" s="12"/>
      <c r="D553" s="12"/>
      <c r="E553" s="12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customFormat="false" ht="15.75" hidden="false" customHeight="true" outlineLevel="0" collapsed="false">
      <c r="A554" s="12"/>
      <c r="B554" s="12"/>
      <c r="C554" s="12"/>
      <c r="D554" s="12"/>
      <c r="E554" s="12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customFormat="false" ht="15.75" hidden="false" customHeight="true" outlineLevel="0" collapsed="false">
      <c r="A555" s="12"/>
      <c r="B555" s="12"/>
      <c r="C555" s="12"/>
      <c r="D555" s="12"/>
      <c r="E555" s="12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customFormat="false" ht="15.75" hidden="false" customHeight="true" outlineLevel="0" collapsed="false">
      <c r="A556" s="12"/>
      <c r="B556" s="12"/>
      <c r="C556" s="12"/>
      <c r="D556" s="12"/>
      <c r="E556" s="12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customFormat="false" ht="15.75" hidden="false" customHeight="true" outlineLevel="0" collapsed="false">
      <c r="A557" s="12"/>
      <c r="B557" s="12"/>
      <c r="C557" s="12"/>
      <c r="D557" s="12"/>
      <c r="E557" s="12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customFormat="false" ht="15.75" hidden="false" customHeight="true" outlineLevel="0" collapsed="false">
      <c r="A558" s="12"/>
      <c r="B558" s="12"/>
      <c r="C558" s="12"/>
      <c r="D558" s="12"/>
      <c r="E558" s="12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customFormat="false" ht="15.75" hidden="false" customHeight="true" outlineLevel="0" collapsed="false">
      <c r="A559" s="12"/>
      <c r="B559" s="12"/>
      <c r="C559" s="12"/>
      <c r="D559" s="12"/>
      <c r="E559" s="12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customFormat="false" ht="15.75" hidden="false" customHeight="true" outlineLevel="0" collapsed="false">
      <c r="A560" s="12"/>
      <c r="B560" s="12"/>
      <c r="C560" s="12"/>
      <c r="D560" s="12"/>
      <c r="E560" s="12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customFormat="false" ht="15.75" hidden="false" customHeight="true" outlineLevel="0" collapsed="false">
      <c r="A561" s="12"/>
      <c r="B561" s="12"/>
      <c r="C561" s="12"/>
      <c r="D561" s="12"/>
      <c r="E561" s="12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customFormat="false" ht="15.75" hidden="false" customHeight="true" outlineLevel="0" collapsed="false">
      <c r="A562" s="12"/>
      <c r="B562" s="12"/>
      <c r="C562" s="12"/>
      <c r="D562" s="12"/>
      <c r="E562" s="12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customFormat="false" ht="15.75" hidden="false" customHeight="true" outlineLevel="0" collapsed="false">
      <c r="A563" s="12"/>
      <c r="B563" s="12"/>
      <c r="C563" s="12"/>
      <c r="D563" s="12"/>
      <c r="E563" s="12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customFormat="false" ht="15.75" hidden="false" customHeight="true" outlineLevel="0" collapsed="false">
      <c r="A564" s="12"/>
      <c r="B564" s="12"/>
      <c r="C564" s="12"/>
      <c r="D564" s="12"/>
      <c r="E564" s="12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customFormat="false" ht="15.75" hidden="false" customHeight="true" outlineLevel="0" collapsed="false">
      <c r="A565" s="12"/>
      <c r="B565" s="12"/>
      <c r="C565" s="12"/>
      <c r="D565" s="12"/>
      <c r="E565" s="12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customFormat="false" ht="15.75" hidden="false" customHeight="true" outlineLevel="0" collapsed="false">
      <c r="A566" s="12"/>
      <c r="B566" s="12"/>
      <c r="C566" s="12"/>
      <c r="D566" s="12"/>
      <c r="E566" s="12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customFormat="false" ht="15.75" hidden="false" customHeight="true" outlineLevel="0" collapsed="false">
      <c r="A567" s="12"/>
      <c r="B567" s="12"/>
      <c r="C567" s="12"/>
      <c r="D567" s="12"/>
      <c r="E567" s="12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customFormat="false" ht="15.75" hidden="false" customHeight="true" outlineLevel="0" collapsed="false">
      <c r="A568" s="12"/>
      <c r="B568" s="12"/>
      <c r="C568" s="12"/>
      <c r="D568" s="12"/>
      <c r="E568" s="12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customFormat="false" ht="15.75" hidden="false" customHeight="true" outlineLevel="0" collapsed="false">
      <c r="A569" s="12"/>
      <c r="B569" s="12"/>
      <c r="C569" s="12"/>
      <c r="D569" s="12"/>
      <c r="E569" s="12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customFormat="false" ht="15.75" hidden="false" customHeight="true" outlineLevel="0" collapsed="false">
      <c r="A570" s="12"/>
      <c r="B570" s="12"/>
      <c r="C570" s="12"/>
      <c r="D570" s="12"/>
      <c r="E570" s="12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customFormat="false" ht="15.75" hidden="false" customHeight="true" outlineLevel="0" collapsed="false">
      <c r="A571" s="12"/>
      <c r="B571" s="12"/>
      <c r="C571" s="12"/>
      <c r="D571" s="12"/>
      <c r="E571" s="12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customFormat="false" ht="15.75" hidden="false" customHeight="true" outlineLevel="0" collapsed="false">
      <c r="A572" s="12"/>
      <c r="B572" s="12"/>
      <c r="C572" s="12"/>
      <c r="D572" s="12"/>
      <c r="E572" s="12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customFormat="false" ht="15.75" hidden="false" customHeight="true" outlineLevel="0" collapsed="false">
      <c r="A573" s="12"/>
      <c r="B573" s="12"/>
      <c r="C573" s="12"/>
      <c r="D573" s="12"/>
      <c r="E573" s="12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customFormat="false" ht="15.75" hidden="false" customHeight="true" outlineLevel="0" collapsed="false">
      <c r="A574" s="12"/>
      <c r="B574" s="12"/>
      <c r="C574" s="12"/>
      <c r="D574" s="12"/>
      <c r="E574" s="12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customFormat="false" ht="15.75" hidden="false" customHeight="true" outlineLevel="0" collapsed="false">
      <c r="A575" s="12"/>
      <c r="B575" s="12"/>
      <c r="C575" s="12"/>
      <c r="D575" s="12"/>
      <c r="E575" s="12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customFormat="false" ht="15.75" hidden="false" customHeight="true" outlineLevel="0" collapsed="false">
      <c r="A576" s="12"/>
      <c r="B576" s="12"/>
      <c r="C576" s="12"/>
      <c r="D576" s="12"/>
      <c r="E576" s="12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customFormat="false" ht="15.75" hidden="false" customHeight="true" outlineLevel="0" collapsed="false">
      <c r="A577" s="12"/>
      <c r="B577" s="12"/>
      <c r="C577" s="12"/>
      <c r="D577" s="12"/>
      <c r="E577" s="12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customFormat="false" ht="15.75" hidden="false" customHeight="true" outlineLevel="0" collapsed="false">
      <c r="A578" s="12"/>
      <c r="B578" s="12"/>
      <c r="C578" s="12"/>
      <c r="D578" s="12"/>
      <c r="E578" s="12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customFormat="false" ht="15.75" hidden="false" customHeight="true" outlineLevel="0" collapsed="false">
      <c r="A579" s="12"/>
      <c r="B579" s="12"/>
      <c r="C579" s="12"/>
      <c r="D579" s="12"/>
      <c r="E579" s="12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customFormat="false" ht="15.75" hidden="false" customHeight="true" outlineLevel="0" collapsed="false">
      <c r="A580" s="12"/>
      <c r="B580" s="12"/>
      <c r="C580" s="12"/>
      <c r="D580" s="12"/>
      <c r="E580" s="12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customFormat="false" ht="15.75" hidden="false" customHeight="true" outlineLevel="0" collapsed="false">
      <c r="A581" s="12"/>
      <c r="B581" s="12"/>
      <c r="C581" s="12"/>
      <c r="D581" s="12"/>
      <c r="E581" s="12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customFormat="false" ht="15.75" hidden="false" customHeight="true" outlineLevel="0" collapsed="false">
      <c r="A582" s="12"/>
      <c r="B582" s="12"/>
      <c r="C582" s="12"/>
      <c r="D582" s="12"/>
      <c r="E582" s="12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customFormat="false" ht="15.75" hidden="false" customHeight="true" outlineLevel="0" collapsed="false">
      <c r="A583" s="12"/>
      <c r="B583" s="12"/>
      <c r="C583" s="12"/>
      <c r="D583" s="12"/>
      <c r="E583" s="12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customFormat="false" ht="15.75" hidden="false" customHeight="true" outlineLevel="0" collapsed="false">
      <c r="A584" s="12"/>
      <c r="B584" s="12"/>
      <c r="C584" s="12"/>
      <c r="D584" s="12"/>
      <c r="E584" s="12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customFormat="false" ht="15.75" hidden="false" customHeight="true" outlineLevel="0" collapsed="false">
      <c r="A585" s="12"/>
      <c r="B585" s="12"/>
      <c r="C585" s="12"/>
      <c r="D585" s="12"/>
      <c r="E585" s="12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customFormat="false" ht="15.75" hidden="false" customHeight="true" outlineLevel="0" collapsed="false">
      <c r="A586" s="12"/>
      <c r="B586" s="12"/>
      <c r="C586" s="12"/>
      <c r="D586" s="12"/>
      <c r="E586" s="12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customFormat="false" ht="15.75" hidden="false" customHeight="true" outlineLevel="0" collapsed="false">
      <c r="A587" s="12"/>
      <c r="B587" s="12"/>
      <c r="C587" s="12"/>
      <c r="D587" s="12"/>
      <c r="E587" s="12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customFormat="false" ht="15.75" hidden="false" customHeight="true" outlineLevel="0" collapsed="false">
      <c r="A588" s="12"/>
      <c r="B588" s="12"/>
      <c r="C588" s="12"/>
      <c r="D588" s="12"/>
      <c r="E588" s="12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customFormat="false" ht="15.75" hidden="false" customHeight="true" outlineLevel="0" collapsed="false">
      <c r="A589" s="12"/>
      <c r="B589" s="12"/>
      <c r="C589" s="12"/>
      <c r="D589" s="12"/>
      <c r="E589" s="12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customFormat="false" ht="15.75" hidden="false" customHeight="true" outlineLevel="0" collapsed="false">
      <c r="A590" s="12"/>
      <c r="B590" s="12"/>
      <c r="C590" s="12"/>
      <c r="D590" s="12"/>
      <c r="E590" s="12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customFormat="false" ht="15.75" hidden="false" customHeight="true" outlineLevel="0" collapsed="false">
      <c r="A591" s="12"/>
      <c r="B591" s="12"/>
      <c r="C591" s="12"/>
      <c r="D591" s="12"/>
      <c r="E591" s="12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customFormat="false" ht="15.75" hidden="false" customHeight="true" outlineLevel="0" collapsed="false">
      <c r="A592" s="12"/>
      <c r="B592" s="12"/>
      <c r="C592" s="12"/>
      <c r="D592" s="12"/>
      <c r="E592" s="12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customFormat="false" ht="15.75" hidden="false" customHeight="true" outlineLevel="0" collapsed="false">
      <c r="A593" s="12"/>
      <c r="B593" s="12"/>
      <c r="C593" s="12"/>
      <c r="D593" s="12"/>
      <c r="E593" s="12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customFormat="false" ht="15.75" hidden="false" customHeight="true" outlineLevel="0" collapsed="false">
      <c r="A594" s="12"/>
      <c r="B594" s="12"/>
      <c r="C594" s="12"/>
      <c r="D594" s="12"/>
      <c r="E594" s="12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customFormat="false" ht="15.75" hidden="false" customHeight="true" outlineLevel="0" collapsed="false">
      <c r="A595" s="12"/>
      <c r="B595" s="12"/>
      <c r="C595" s="12"/>
      <c r="D595" s="12"/>
      <c r="E595" s="12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customFormat="false" ht="15.75" hidden="false" customHeight="true" outlineLevel="0" collapsed="false">
      <c r="A596" s="12"/>
      <c r="B596" s="12"/>
      <c r="C596" s="12"/>
      <c r="D596" s="12"/>
      <c r="E596" s="12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customFormat="false" ht="15.75" hidden="false" customHeight="true" outlineLevel="0" collapsed="false">
      <c r="A597" s="12"/>
      <c r="B597" s="12"/>
      <c r="C597" s="12"/>
      <c r="D597" s="12"/>
      <c r="E597" s="12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customFormat="false" ht="15.75" hidden="false" customHeight="true" outlineLevel="0" collapsed="false">
      <c r="A598" s="12"/>
      <c r="B598" s="12"/>
      <c r="C598" s="12"/>
      <c r="D598" s="12"/>
      <c r="E598" s="12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customFormat="false" ht="15.75" hidden="false" customHeight="true" outlineLevel="0" collapsed="false">
      <c r="A599" s="12"/>
      <c r="B599" s="12"/>
      <c r="C599" s="12"/>
      <c r="D599" s="12"/>
      <c r="E599" s="12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customFormat="false" ht="15.75" hidden="false" customHeight="true" outlineLevel="0" collapsed="false">
      <c r="A600" s="12"/>
      <c r="B600" s="12"/>
      <c r="C600" s="12"/>
      <c r="D600" s="12"/>
      <c r="E600" s="12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customFormat="false" ht="15.75" hidden="false" customHeight="true" outlineLevel="0" collapsed="false">
      <c r="A601" s="12"/>
      <c r="B601" s="12"/>
      <c r="C601" s="12"/>
      <c r="D601" s="12"/>
      <c r="E601" s="12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customFormat="false" ht="15.75" hidden="false" customHeight="true" outlineLevel="0" collapsed="false">
      <c r="A602" s="12"/>
      <c r="B602" s="12"/>
      <c r="C602" s="12"/>
      <c r="D602" s="12"/>
      <c r="E602" s="12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customFormat="false" ht="15.75" hidden="false" customHeight="true" outlineLevel="0" collapsed="false">
      <c r="A603" s="12"/>
      <c r="B603" s="12"/>
      <c r="C603" s="12"/>
      <c r="D603" s="12"/>
      <c r="E603" s="12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customFormat="false" ht="15.75" hidden="false" customHeight="true" outlineLevel="0" collapsed="false">
      <c r="A604" s="12"/>
      <c r="B604" s="12"/>
      <c r="C604" s="12"/>
      <c r="D604" s="12"/>
      <c r="E604" s="12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customFormat="false" ht="15.75" hidden="false" customHeight="true" outlineLevel="0" collapsed="false">
      <c r="A605" s="12"/>
      <c r="B605" s="12"/>
      <c r="C605" s="12"/>
      <c r="D605" s="12"/>
      <c r="E605" s="12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customFormat="false" ht="15.75" hidden="false" customHeight="true" outlineLevel="0" collapsed="false">
      <c r="A606" s="12"/>
      <c r="B606" s="12"/>
      <c r="C606" s="12"/>
      <c r="D606" s="12"/>
      <c r="E606" s="12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customFormat="false" ht="15.75" hidden="false" customHeight="true" outlineLevel="0" collapsed="false">
      <c r="A607" s="12"/>
      <c r="B607" s="12"/>
      <c r="C607" s="12"/>
      <c r="D607" s="12"/>
      <c r="E607" s="12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customFormat="false" ht="15.75" hidden="false" customHeight="true" outlineLevel="0" collapsed="false">
      <c r="A608" s="12"/>
      <c r="B608" s="12"/>
      <c r="C608" s="12"/>
      <c r="D608" s="12"/>
      <c r="E608" s="12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customFormat="false" ht="15.75" hidden="false" customHeight="true" outlineLevel="0" collapsed="false">
      <c r="A609" s="12"/>
      <c r="B609" s="12"/>
      <c r="C609" s="12"/>
      <c r="D609" s="12"/>
      <c r="E609" s="12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customFormat="false" ht="15.75" hidden="false" customHeight="true" outlineLevel="0" collapsed="false">
      <c r="A610" s="12"/>
      <c r="B610" s="12"/>
      <c r="C610" s="12"/>
      <c r="D610" s="12"/>
      <c r="E610" s="12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customFormat="false" ht="15.75" hidden="false" customHeight="true" outlineLevel="0" collapsed="false">
      <c r="A611" s="12"/>
      <c r="B611" s="12"/>
      <c r="C611" s="12"/>
      <c r="D611" s="12"/>
      <c r="E611" s="12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customFormat="false" ht="15.75" hidden="false" customHeight="true" outlineLevel="0" collapsed="false">
      <c r="A612" s="12"/>
      <c r="B612" s="12"/>
      <c r="C612" s="12"/>
      <c r="D612" s="12"/>
      <c r="E612" s="12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customFormat="false" ht="15.75" hidden="false" customHeight="true" outlineLevel="0" collapsed="false">
      <c r="A613" s="12"/>
      <c r="B613" s="12"/>
      <c r="C613" s="12"/>
      <c r="D613" s="12"/>
      <c r="E613" s="12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customFormat="false" ht="15.75" hidden="false" customHeight="true" outlineLevel="0" collapsed="false">
      <c r="A614" s="12"/>
      <c r="B614" s="12"/>
      <c r="C614" s="12"/>
      <c r="D614" s="12"/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customFormat="false" ht="15.75" hidden="false" customHeight="true" outlineLevel="0" collapsed="false">
      <c r="A615" s="12"/>
      <c r="B615" s="12"/>
      <c r="C615" s="12"/>
      <c r="D615" s="12"/>
      <c r="E615" s="12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customFormat="false" ht="15.75" hidden="false" customHeight="true" outlineLevel="0" collapsed="false">
      <c r="A616" s="12"/>
      <c r="B616" s="12"/>
      <c r="C616" s="12"/>
      <c r="D616" s="12"/>
      <c r="E616" s="12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customFormat="false" ht="15.75" hidden="false" customHeight="true" outlineLevel="0" collapsed="false">
      <c r="A617" s="12"/>
      <c r="B617" s="12"/>
      <c r="C617" s="12"/>
      <c r="D617" s="12"/>
      <c r="E617" s="12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customFormat="false" ht="15.75" hidden="false" customHeight="true" outlineLevel="0" collapsed="false">
      <c r="A618" s="12"/>
      <c r="B618" s="12"/>
      <c r="C618" s="12"/>
      <c r="D618" s="12"/>
      <c r="E618" s="12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customFormat="false" ht="15.75" hidden="false" customHeight="true" outlineLevel="0" collapsed="false">
      <c r="A619" s="12"/>
      <c r="B619" s="12"/>
      <c r="C619" s="12"/>
      <c r="D619" s="12"/>
      <c r="E619" s="12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customFormat="false" ht="15.75" hidden="false" customHeight="true" outlineLevel="0" collapsed="false">
      <c r="A620" s="12"/>
      <c r="B620" s="12"/>
      <c r="C620" s="12"/>
      <c r="D620" s="12"/>
      <c r="E620" s="12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customFormat="false" ht="15.75" hidden="false" customHeight="true" outlineLevel="0" collapsed="false">
      <c r="A621" s="12"/>
      <c r="B621" s="12"/>
      <c r="C621" s="12"/>
      <c r="D621" s="12"/>
      <c r="E621" s="12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customFormat="false" ht="15.75" hidden="false" customHeight="true" outlineLevel="0" collapsed="false">
      <c r="A622" s="12"/>
      <c r="B622" s="12"/>
      <c r="C622" s="12"/>
      <c r="D622" s="12"/>
      <c r="E622" s="12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customFormat="false" ht="15.75" hidden="false" customHeight="true" outlineLevel="0" collapsed="false">
      <c r="A623" s="12"/>
      <c r="B623" s="12"/>
      <c r="C623" s="12"/>
      <c r="D623" s="12"/>
      <c r="E623" s="12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customFormat="false" ht="15.75" hidden="false" customHeight="true" outlineLevel="0" collapsed="false">
      <c r="A624" s="12"/>
      <c r="B624" s="12"/>
      <c r="C624" s="12"/>
      <c r="D624" s="12"/>
      <c r="E624" s="12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customFormat="false" ht="15.75" hidden="false" customHeight="true" outlineLevel="0" collapsed="false">
      <c r="A625" s="12"/>
      <c r="B625" s="12"/>
      <c r="C625" s="12"/>
      <c r="D625" s="12"/>
      <c r="E625" s="12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customFormat="false" ht="15.75" hidden="false" customHeight="true" outlineLevel="0" collapsed="false">
      <c r="A626" s="12"/>
      <c r="B626" s="12"/>
      <c r="C626" s="12"/>
      <c r="D626" s="12"/>
      <c r="E626" s="12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customFormat="false" ht="15.75" hidden="false" customHeight="true" outlineLevel="0" collapsed="false">
      <c r="A627" s="12"/>
      <c r="B627" s="12"/>
      <c r="C627" s="12"/>
      <c r="D627" s="12"/>
      <c r="E627" s="12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customFormat="false" ht="15.75" hidden="false" customHeight="true" outlineLevel="0" collapsed="false">
      <c r="A628" s="12"/>
      <c r="B628" s="12"/>
      <c r="C628" s="12"/>
      <c r="D628" s="12"/>
      <c r="E628" s="12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customFormat="false" ht="15.75" hidden="false" customHeight="true" outlineLevel="0" collapsed="false">
      <c r="A629" s="12"/>
      <c r="B629" s="12"/>
      <c r="C629" s="12"/>
      <c r="D629" s="12"/>
      <c r="E629" s="12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customFormat="false" ht="15.75" hidden="false" customHeight="true" outlineLevel="0" collapsed="false">
      <c r="A630" s="12"/>
      <c r="B630" s="12"/>
      <c r="C630" s="12"/>
      <c r="D630" s="12"/>
      <c r="E630" s="12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customFormat="false" ht="15.75" hidden="false" customHeight="true" outlineLevel="0" collapsed="false">
      <c r="A631" s="12"/>
      <c r="B631" s="12"/>
      <c r="C631" s="12"/>
      <c r="D631" s="12"/>
      <c r="E631" s="12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customFormat="false" ht="15.75" hidden="false" customHeight="true" outlineLevel="0" collapsed="false">
      <c r="A632" s="12"/>
      <c r="B632" s="12"/>
      <c r="C632" s="12"/>
      <c r="D632" s="12"/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customFormat="false" ht="15.75" hidden="false" customHeight="true" outlineLevel="0" collapsed="false">
      <c r="A633" s="12"/>
      <c r="B633" s="12"/>
      <c r="C633" s="12"/>
      <c r="D633" s="12"/>
      <c r="E633" s="12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customFormat="false" ht="15.75" hidden="false" customHeight="true" outlineLevel="0" collapsed="false">
      <c r="A634" s="12"/>
      <c r="B634" s="12"/>
      <c r="C634" s="12"/>
      <c r="D634" s="12"/>
      <c r="E634" s="12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customFormat="false" ht="15.75" hidden="false" customHeight="true" outlineLevel="0" collapsed="false">
      <c r="A635" s="12"/>
      <c r="B635" s="12"/>
      <c r="C635" s="12"/>
      <c r="D635" s="12"/>
      <c r="E635" s="12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customFormat="false" ht="15.75" hidden="false" customHeight="true" outlineLevel="0" collapsed="false">
      <c r="A636" s="12"/>
      <c r="B636" s="12"/>
      <c r="C636" s="12"/>
      <c r="D636" s="12"/>
      <c r="E636" s="12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customFormat="false" ht="15.75" hidden="false" customHeight="true" outlineLevel="0" collapsed="false">
      <c r="A637" s="12"/>
      <c r="B637" s="12"/>
      <c r="C637" s="12"/>
      <c r="D637" s="12"/>
      <c r="E637" s="12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customFormat="false" ht="15.75" hidden="false" customHeight="true" outlineLevel="0" collapsed="false">
      <c r="A638" s="12"/>
      <c r="B638" s="12"/>
      <c r="C638" s="12"/>
      <c r="D638" s="12"/>
      <c r="E638" s="12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customFormat="false" ht="15.75" hidden="false" customHeight="true" outlineLevel="0" collapsed="false">
      <c r="A639" s="12"/>
      <c r="B639" s="12"/>
      <c r="C639" s="12"/>
      <c r="D639" s="12"/>
      <c r="E639" s="12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customFormat="false" ht="15.75" hidden="false" customHeight="true" outlineLevel="0" collapsed="false">
      <c r="A640" s="12"/>
      <c r="B640" s="12"/>
      <c r="C640" s="12"/>
      <c r="D640" s="12"/>
      <c r="E640" s="12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customFormat="false" ht="15.75" hidden="false" customHeight="true" outlineLevel="0" collapsed="false">
      <c r="A641" s="12"/>
      <c r="B641" s="12"/>
      <c r="C641" s="12"/>
      <c r="D641" s="12"/>
      <c r="E641" s="12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customFormat="false" ht="15.75" hidden="false" customHeight="true" outlineLevel="0" collapsed="false">
      <c r="A642" s="12"/>
      <c r="B642" s="12"/>
      <c r="C642" s="12"/>
      <c r="D642" s="12"/>
      <c r="E642" s="12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customFormat="false" ht="15.75" hidden="false" customHeight="true" outlineLevel="0" collapsed="false">
      <c r="A643" s="12"/>
      <c r="B643" s="12"/>
      <c r="C643" s="12"/>
      <c r="D643" s="12"/>
      <c r="E643" s="12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customFormat="false" ht="15.75" hidden="false" customHeight="true" outlineLevel="0" collapsed="false">
      <c r="A644" s="12"/>
      <c r="B644" s="12"/>
      <c r="C644" s="12"/>
      <c r="D644" s="12"/>
      <c r="E644" s="12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customFormat="false" ht="15.75" hidden="false" customHeight="true" outlineLevel="0" collapsed="false">
      <c r="A645" s="12"/>
      <c r="B645" s="12"/>
      <c r="C645" s="12"/>
      <c r="D645" s="12"/>
      <c r="E645" s="12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customFormat="false" ht="15.75" hidden="false" customHeight="true" outlineLevel="0" collapsed="false">
      <c r="A646" s="12"/>
      <c r="B646" s="12"/>
      <c r="C646" s="12"/>
      <c r="D646" s="12"/>
      <c r="E646" s="12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customFormat="false" ht="15.75" hidden="false" customHeight="true" outlineLevel="0" collapsed="false">
      <c r="A647" s="12"/>
      <c r="B647" s="12"/>
      <c r="C647" s="12"/>
      <c r="D647" s="12"/>
      <c r="E647" s="12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customFormat="false" ht="15.75" hidden="false" customHeight="true" outlineLevel="0" collapsed="false">
      <c r="A648" s="12"/>
      <c r="B648" s="12"/>
      <c r="C648" s="12"/>
      <c r="D648" s="12"/>
      <c r="E648" s="12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customFormat="false" ht="15.75" hidden="false" customHeight="true" outlineLevel="0" collapsed="false">
      <c r="A649" s="12"/>
      <c r="B649" s="12"/>
      <c r="C649" s="12"/>
      <c r="D649" s="12"/>
      <c r="E649" s="12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customFormat="false" ht="15.75" hidden="false" customHeight="true" outlineLevel="0" collapsed="false">
      <c r="A650" s="12"/>
      <c r="B650" s="12"/>
      <c r="C650" s="12"/>
      <c r="D650" s="12"/>
      <c r="E650" s="12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customFormat="false" ht="15.75" hidden="false" customHeight="true" outlineLevel="0" collapsed="false">
      <c r="A651" s="12"/>
      <c r="B651" s="12"/>
      <c r="C651" s="12"/>
      <c r="D651" s="12"/>
      <c r="E651" s="12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customFormat="false" ht="15.75" hidden="false" customHeight="true" outlineLevel="0" collapsed="false">
      <c r="A652" s="12"/>
      <c r="B652" s="12"/>
      <c r="C652" s="12"/>
      <c r="D652" s="12"/>
      <c r="E652" s="12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customFormat="false" ht="15.75" hidden="false" customHeight="true" outlineLevel="0" collapsed="false">
      <c r="A653" s="12"/>
      <c r="B653" s="12"/>
      <c r="C653" s="12"/>
      <c r="D653" s="12"/>
      <c r="E653" s="12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customFormat="false" ht="15.75" hidden="false" customHeight="true" outlineLevel="0" collapsed="false">
      <c r="A654" s="12"/>
      <c r="B654" s="12"/>
      <c r="C654" s="12"/>
      <c r="D654" s="12"/>
      <c r="E654" s="12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customFormat="false" ht="15.75" hidden="false" customHeight="true" outlineLevel="0" collapsed="false">
      <c r="A655" s="12"/>
      <c r="B655" s="12"/>
      <c r="C655" s="12"/>
      <c r="D655" s="12"/>
      <c r="E655" s="12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customFormat="false" ht="15.75" hidden="false" customHeight="true" outlineLevel="0" collapsed="false">
      <c r="A656" s="12"/>
      <c r="B656" s="12"/>
      <c r="C656" s="12"/>
      <c r="D656" s="12"/>
      <c r="E656" s="12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customFormat="false" ht="15.75" hidden="false" customHeight="true" outlineLevel="0" collapsed="false">
      <c r="A657" s="12"/>
      <c r="B657" s="12"/>
      <c r="C657" s="12"/>
      <c r="D657" s="12"/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customFormat="false" ht="15.75" hidden="false" customHeight="true" outlineLevel="0" collapsed="false">
      <c r="A658" s="12"/>
      <c r="B658" s="12"/>
      <c r="C658" s="12"/>
      <c r="D658" s="12"/>
      <c r="E658" s="12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customFormat="false" ht="15.75" hidden="false" customHeight="true" outlineLevel="0" collapsed="false">
      <c r="A659" s="12"/>
      <c r="B659" s="12"/>
      <c r="C659" s="12"/>
      <c r="D659" s="12"/>
      <c r="E659" s="12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customFormat="false" ht="15.75" hidden="false" customHeight="true" outlineLevel="0" collapsed="false">
      <c r="A660" s="12"/>
      <c r="B660" s="12"/>
      <c r="C660" s="12"/>
      <c r="D660" s="12"/>
      <c r="E660" s="12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customFormat="false" ht="15.75" hidden="false" customHeight="true" outlineLevel="0" collapsed="false">
      <c r="A661" s="12"/>
      <c r="B661" s="12"/>
      <c r="C661" s="12"/>
      <c r="D661" s="12"/>
      <c r="E661" s="12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customFormat="false" ht="15.75" hidden="false" customHeight="true" outlineLevel="0" collapsed="false">
      <c r="A662" s="12"/>
      <c r="B662" s="12"/>
      <c r="C662" s="12"/>
      <c r="D662" s="12"/>
      <c r="E662" s="12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customFormat="false" ht="15.75" hidden="false" customHeight="true" outlineLevel="0" collapsed="false">
      <c r="A663" s="12"/>
      <c r="B663" s="12"/>
      <c r="C663" s="12"/>
      <c r="D663" s="12"/>
      <c r="E663" s="12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customFormat="false" ht="15.75" hidden="false" customHeight="true" outlineLevel="0" collapsed="false">
      <c r="A664" s="12"/>
      <c r="B664" s="12"/>
      <c r="C664" s="12"/>
      <c r="D664" s="12"/>
      <c r="E664" s="12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customFormat="false" ht="15.75" hidden="false" customHeight="true" outlineLevel="0" collapsed="false">
      <c r="A665" s="12"/>
      <c r="B665" s="12"/>
      <c r="C665" s="12"/>
      <c r="D665" s="12"/>
      <c r="E665" s="12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customFormat="false" ht="15.75" hidden="false" customHeight="true" outlineLevel="0" collapsed="false">
      <c r="A666" s="12"/>
      <c r="B666" s="12"/>
      <c r="C666" s="12"/>
      <c r="D666" s="12"/>
      <c r="E666" s="12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customFormat="false" ht="15.75" hidden="false" customHeight="true" outlineLevel="0" collapsed="false">
      <c r="A667" s="12"/>
      <c r="B667" s="12"/>
      <c r="C667" s="12"/>
      <c r="D667" s="12"/>
      <c r="E667" s="12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customFormat="false" ht="15.75" hidden="false" customHeight="true" outlineLevel="0" collapsed="false">
      <c r="A668" s="12"/>
      <c r="B668" s="12"/>
      <c r="C668" s="12"/>
      <c r="D668" s="12"/>
      <c r="E668" s="12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customFormat="false" ht="15.75" hidden="false" customHeight="true" outlineLevel="0" collapsed="false">
      <c r="A669" s="12"/>
      <c r="B669" s="12"/>
      <c r="C669" s="12"/>
      <c r="D669" s="12"/>
      <c r="E669" s="12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customFormat="false" ht="15.75" hidden="false" customHeight="true" outlineLevel="0" collapsed="false">
      <c r="A670" s="12"/>
      <c r="B670" s="12"/>
      <c r="C670" s="12"/>
      <c r="D670" s="12"/>
      <c r="E670" s="12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customFormat="false" ht="15.75" hidden="false" customHeight="true" outlineLevel="0" collapsed="false">
      <c r="A671" s="12"/>
      <c r="B671" s="12"/>
      <c r="C671" s="12"/>
      <c r="D671" s="12"/>
      <c r="E671" s="12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customFormat="false" ht="15.75" hidden="false" customHeight="true" outlineLevel="0" collapsed="false">
      <c r="A672" s="12"/>
      <c r="B672" s="12"/>
      <c r="C672" s="12"/>
      <c r="D672" s="12"/>
      <c r="E672" s="12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customFormat="false" ht="15.75" hidden="false" customHeight="true" outlineLevel="0" collapsed="false">
      <c r="A673" s="12"/>
      <c r="B673" s="12"/>
      <c r="C673" s="12"/>
      <c r="D673" s="12"/>
      <c r="E673" s="12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customFormat="false" ht="15.75" hidden="false" customHeight="true" outlineLevel="0" collapsed="false">
      <c r="A674" s="12"/>
      <c r="B674" s="12"/>
      <c r="C674" s="12"/>
      <c r="D674" s="12"/>
      <c r="E674" s="12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customFormat="false" ht="15.75" hidden="false" customHeight="true" outlineLevel="0" collapsed="false">
      <c r="A675" s="12"/>
      <c r="B675" s="12"/>
      <c r="C675" s="12"/>
      <c r="D675" s="12"/>
      <c r="E675" s="12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customFormat="false" ht="15.75" hidden="false" customHeight="true" outlineLevel="0" collapsed="false">
      <c r="A676" s="12"/>
      <c r="B676" s="12"/>
      <c r="C676" s="12"/>
      <c r="D676" s="12"/>
      <c r="E676" s="12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customFormat="false" ht="15.75" hidden="false" customHeight="true" outlineLevel="0" collapsed="false">
      <c r="A677" s="12"/>
      <c r="B677" s="12"/>
      <c r="C677" s="12"/>
      <c r="D677" s="12"/>
      <c r="E677" s="12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customFormat="false" ht="15.75" hidden="false" customHeight="true" outlineLevel="0" collapsed="false">
      <c r="A678" s="12"/>
      <c r="B678" s="12"/>
      <c r="C678" s="12"/>
      <c r="D678" s="12"/>
      <c r="E678" s="12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customFormat="false" ht="15.75" hidden="false" customHeight="true" outlineLevel="0" collapsed="false">
      <c r="A679" s="12"/>
      <c r="B679" s="12"/>
      <c r="C679" s="12"/>
      <c r="D679" s="12"/>
      <c r="E679" s="12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customFormat="false" ht="15.75" hidden="false" customHeight="true" outlineLevel="0" collapsed="false">
      <c r="A680" s="12"/>
      <c r="B680" s="12"/>
      <c r="C680" s="12"/>
      <c r="D680" s="12"/>
      <c r="E680" s="12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customFormat="false" ht="15.75" hidden="false" customHeight="true" outlineLevel="0" collapsed="false">
      <c r="A681" s="12"/>
      <c r="B681" s="12"/>
      <c r="C681" s="12"/>
      <c r="D681" s="12"/>
      <c r="E681" s="12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customFormat="false" ht="15.75" hidden="false" customHeight="true" outlineLevel="0" collapsed="false">
      <c r="A682" s="12"/>
      <c r="B682" s="12"/>
      <c r="C682" s="12"/>
      <c r="D682" s="12"/>
      <c r="E682" s="12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customFormat="false" ht="15.75" hidden="false" customHeight="true" outlineLevel="0" collapsed="false">
      <c r="A683" s="12"/>
      <c r="B683" s="12"/>
      <c r="C683" s="12"/>
      <c r="D683" s="12"/>
      <c r="E683" s="12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customFormat="false" ht="15.75" hidden="false" customHeight="true" outlineLevel="0" collapsed="false">
      <c r="A684" s="12"/>
      <c r="B684" s="12"/>
      <c r="C684" s="12"/>
      <c r="D684" s="12"/>
      <c r="E684" s="12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customFormat="false" ht="15.75" hidden="false" customHeight="true" outlineLevel="0" collapsed="false">
      <c r="A685" s="12"/>
      <c r="B685" s="12"/>
      <c r="C685" s="12"/>
      <c r="D685" s="12"/>
      <c r="E685" s="12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customFormat="false" ht="15.75" hidden="false" customHeight="true" outlineLevel="0" collapsed="false">
      <c r="A686" s="12"/>
      <c r="B686" s="12"/>
      <c r="C686" s="12"/>
      <c r="D686" s="12"/>
      <c r="E686" s="12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customFormat="false" ht="15.75" hidden="false" customHeight="true" outlineLevel="0" collapsed="false">
      <c r="A687" s="12"/>
      <c r="B687" s="12"/>
      <c r="C687" s="12"/>
      <c r="D687" s="12"/>
      <c r="E687" s="12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customFormat="false" ht="15.75" hidden="false" customHeight="true" outlineLevel="0" collapsed="false">
      <c r="A688" s="12"/>
      <c r="B688" s="12"/>
      <c r="C688" s="12"/>
      <c r="D688" s="12"/>
      <c r="E688" s="12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customFormat="false" ht="15.75" hidden="false" customHeight="true" outlineLevel="0" collapsed="false">
      <c r="A689" s="12"/>
      <c r="B689" s="12"/>
      <c r="C689" s="12"/>
      <c r="D689" s="12"/>
      <c r="E689" s="12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customFormat="false" ht="15.75" hidden="false" customHeight="true" outlineLevel="0" collapsed="false">
      <c r="A690" s="12"/>
      <c r="B690" s="12"/>
      <c r="C690" s="12"/>
      <c r="D690" s="12"/>
      <c r="E690" s="12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customFormat="false" ht="15.75" hidden="false" customHeight="true" outlineLevel="0" collapsed="false">
      <c r="A691" s="12"/>
      <c r="B691" s="12"/>
      <c r="C691" s="12"/>
      <c r="D691" s="12"/>
      <c r="E691" s="12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customFormat="false" ht="15.75" hidden="false" customHeight="true" outlineLevel="0" collapsed="false">
      <c r="A692" s="12"/>
      <c r="B692" s="12"/>
      <c r="C692" s="12"/>
      <c r="D692" s="12"/>
      <c r="E692" s="12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customFormat="false" ht="15.75" hidden="false" customHeight="true" outlineLevel="0" collapsed="false">
      <c r="A693" s="12"/>
      <c r="B693" s="12"/>
      <c r="C693" s="12"/>
      <c r="D693" s="12"/>
      <c r="E693" s="12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customFormat="false" ht="15.75" hidden="false" customHeight="true" outlineLevel="0" collapsed="false">
      <c r="A694" s="12"/>
      <c r="B694" s="12"/>
      <c r="C694" s="12"/>
      <c r="D694" s="12"/>
      <c r="E694" s="12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customFormat="false" ht="15.75" hidden="false" customHeight="true" outlineLevel="0" collapsed="false">
      <c r="A695" s="12"/>
      <c r="B695" s="12"/>
      <c r="C695" s="12"/>
      <c r="D695" s="12"/>
      <c r="E695" s="12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customFormat="false" ht="15.75" hidden="false" customHeight="true" outlineLevel="0" collapsed="false">
      <c r="A696" s="12"/>
      <c r="B696" s="12"/>
      <c r="C696" s="12"/>
      <c r="D696" s="12"/>
      <c r="E696" s="12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customFormat="false" ht="15.75" hidden="false" customHeight="true" outlineLevel="0" collapsed="false">
      <c r="A697" s="12"/>
      <c r="B697" s="12"/>
      <c r="C697" s="12"/>
      <c r="D697" s="12"/>
      <c r="E697" s="12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customFormat="false" ht="15.75" hidden="false" customHeight="true" outlineLevel="0" collapsed="false">
      <c r="A698" s="12"/>
      <c r="B698" s="12"/>
      <c r="C698" s="12"/>
      <c r="D698" s="12"/>
      <c r="E698" s="12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customFormat="false" ht="15.75" hidden="false" customHeight="true" outlineLevel="0" collapsed="false">
      <c r="A699" s="12"/>
      <c r="B699" s="12"/>
      <c r="C699" s="12"/>
      <c r="D699" s="12"/>
      <c r="E699" s="12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customFormat="false" ht="15.75" hidden="false" customHeight="true" outlineLevel="0" collapsed="false">
      <c r="A700" s="12"/>
      <c r="B700" s="12"/>
      <c r="C700" s="12"/>
      <c r="D700" s="12"/>
      <c r="E700" s="12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customFormat="false" ht="15.75" hidden="false" customHeight="true" outlineLevel="0" collapsed="false">
      <c r="A701" s="12"/>
      <c r="B701" s="12"/>
      <c r="C701" s="12"/>
      <c r="D701" s="12"/>
      <c r="E701" s="12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customFormat="false" ht="15.75" hidden="false" customHeight="true" outlineLevel="0" collapsed="false">
      <c r="A702" s="12"/>
      <c r="B702" s="12"/>
      <c r="C702" s="12"/>
      <c r="D702" s="12"/>
      <c r="E702" s="12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customFormat="false" ht="15.75" hidden="false" customHeight="true" outlineLevel="0" collapsed="false">
      <c r="A703" s="12"/>
      <c r="B703" s="12"/>
      <c r="C703" s="12"/>
      <c r="D703" s="12"/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customFormat="false" ht="15.75" hidden="false" customHeight="true" outlineLevel="0" collapsed="false">
      <c r="A704" s="12"/>
      <c r="B704" s="12"/>
      <c r="C704" s="12"/>
      <c r="D704" s="12"/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customFormat="false" ht="15.75" hidden="false" customHeight="true" outlineLevel="0" collapsed="false">
      <c r="A705" s="12"/>
      <c r="B705" s="12"/>
      <c r="C705" s="12"/>
      <c r="D705" s="12"/>
      <c r="E705" s="12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customFormat="false" ht="15.75" hidden="false" customHeight="true" outlineLevel="0" collapsed="false">
      <c r="A706" s="12"/>
      <c r="B706" s="12"/>
      <c r="C706" s="12"/>
      <c r="D706" s="12"/>
      <c r="E706" s="12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customFormat="false" ht="15.75" hidden="false" customHeight="true" outlineLevel="0" collapsed="false">
      <c r="A707" s="12"/>
      <c r="B707" s="12"/>
      <c r="C707" s="12"/>
      <c r="D707" s="12"/>
      <c r="E707" s="12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customFormat="false" ht="15.75" hidden="false" customHeight="true" outlineLevel="0" collapsed="false">
      <c r="A708" s="12"/>
      <c r="B708" s="12"/>
      <c r="C708" s="12"/>
      <c r="D708" s="12"/>
      <c r="E708" s="12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customFormat="false" ht="15.75" hidden="false" customHeight="true" outlineLevel="0" collapsed="false">
      <c r="A709" s="12"/>
      <c r="B709" s="12"/>
      <c r="C709" s="12"/>
      <c r="D709" s="12"/>
      <c r="E709" s="12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customFormat="false" ht="15.75" hidden="false" customHeight="true" outlineLevel="0" collapsed="false">
      <c r="A710" s="12"/>
      <c r="B710" s="12"/>
      <c r="C710" s="12"/>
      <c r="D710" s="12"/>
      <c r="E710" s="12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customFormat="false" ht="15.75" hidden="false" customHeight="true" outlineLevel="0" collapsed="false">
      <c r="A711" s="12"/>
      <c r="B711" s="12"/>
      <c r="C711" s="12"/>
      <c r="D711" s="12"/>
      <c r="E711" s="12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customFormat="false" ht="15.75" hidden="false" customHeight="true" outlineLevel="0" collapsed="false">
      <c r="A712" s="12"/>
      <c r="B712" s="12"/>
      <c r="C712" s="12"/>
      <c r="D712" s="12"/>
      <c r="E712" s="12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customFormat="false" ht="15.75" hidden="false" customHeight="true" outlineLevel="0" collapsed="false">
      <c r="A713" s="12"/>
      <c r="B713" s="12"/>
      <c r="C713" s="12"/>
      <c r="D713" s="12"/>
      <c r="E713" s="12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customFormat="false" ht="15.75" hidden="false" customHeight="true" outlineLevel="0" collapsed="false">
      <c r="A714" s="12"/>
      <c r="B714" s="12"/>
      <c r="C714" s="12"/>
      <c r="D714" s="12"/>
      <c r="E714" s="12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customFormat="false" ht="15.75" hidden="false" customHeight="true" outlineLevel="0" collapsed="false">
      <c r="A715" s="12"/>
      <c r="B715" s="12"/>
      <c r="C715" s="12"/>
      <c r="D715" s="12"/>
      <c r="E715" s="12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customFormat="false" ht="15.75" hidden="false" customHeight="true" outlineLevel="0" collapsed="false">
      <c r="A716" s="12"/>
      <c r="B716" s="12"/>
      <c r="C716" s="12"/>
      <c r="D716" s="12"/>
      <c r="E716" s="12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customFormat="false" ht="15.75" hidden="false" customHeight="true" outlineLevel="0" collapsed="false">
      <c r="A717" s="12"/>
      <c r="B717" s="12"/>
      <c r="C717" s="12"/>
      <c r="D717" s="12"/>
      <c r="E717" s="12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customFormat="false" ht="15.75" hidden="false" customHeight="true" outlineLevel="0" collapsed="false">
      <c r="A718" s="12"/>
      <c r="B718" s="12"/>
      <c r="C718" s="12"/>
      <c r="D718" s="12"/>
      <c r="E718" s="12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customFormat="false" ht="15.75" hidden="false" customHeight="true" outlineLevel="0" collapsed="false">
      <c r="A719" s="12"/>
      <c r="B719" s="12"/>
      <c r="C719" s="12"/>
      <c r="D719" s="12"/>
      <c r="E719" s="12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customFormat="false" ht="15.75" hidden="false" customHeight="true" outlineLevel="0" collapsed="false">
      <c r="A720" s="12"/>
      <c r="B720" s="12"/>
      <c r="C720" s="12"/>
      <c r="D720" s="12"/>
      <c r="E720" s="12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customFormat="false" ht="15.75" hidden="false" customHeight="true" outlineLevel="0" collapsed="false">
      <c r="A721" s="12"/>
      <c r="B721" s="12"/>
      <c r="C721" s="12"/>
      <c r="D721" s="12"/>
      <c r="E721" s="12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customFormat="false" ht="15.75" hidden="false" customHeight="true" outlineLevel="0" collapsed="false">
      <c r="A722" s="12"/>
      <c r="B722" s="12"/>
      <c r="C722" s="12"/>
      <c r="D722" s="12"/>
      <c r="E722" s="12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customFormat="false" ht="15.75" hidden="false" customHeight="true" outlineLevel="0" collapsed="false">
      <c r="A723" s="12"/>
      <c r="B723" s="12"/>
      <c r="C723" s="12"/>
      <c r="D723" s="12"/>
      <c r="E723" s="12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customFormat="false" ht="15.75" hidden="false" customHeight="true" outlineLevel="0" collapsed="false">
      <c r="A724" s="12"/>
      <c r="B724" s="12"/>
      <c r="C724" s="12"/>
      <c r="D724" s="12"/>
      <c r="E724" s="12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customFormat="false" ht="15.75" hidden="false" customHeight="true" outlineLevel="0" collapsed="false">
      <c r="A725" s="12"/>
      <c r="B725" s="12"/>
      <c r="C725" s="12"/>
      <c r="D725" s="12"/>
      <c r="E725" s="12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customFormat="false" ht="15.75" hidden="false" customHeight="true" outlineLevel="0" collapsed="false">
      <c r="A726" s="12"/>
      <c r="B726" s="12"/>
      <c r="C726" s="12"/>
      <c r="D726" s="12"/>
      <c r="E726" s="12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customFormat="false" ht="15.75" hidden="false" customHeight="true" outlineLevel="0" collapsed="false">
      <c r="A727" s="12"/>
      <c r="B727" s="12"/>
      <c r="C727" s="12"/>
      <c r="D727" s="12"/>
      <c r="E727" s="12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customFormat="false" ht="15.75" hidden="false" customHeight="true" outlineLevel="0" collapsed="false">
      <c r="A728" s="12"/>
      <c r="B728" s="12"/>
      <c r="C728" s="12"/>
      <c r="D728" s="12"/>
      <c r="E728" s="12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customFormat="false" ht="15.75" hidden="false" customHeight="true" outlineLevel="0" collapsed="false">
      <c r="A729" s="12"/>
      <c r="B729" s="12"/>
      <c r="C729" s="12"/>
      <c r="D729" s="12"/>
      <c r="E729" s="12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customFormat="false" ht="15.75" hidden="false" customHeight="true" outlineLevel="0" collapsed="false">
      <c r="A730" s="12"/>
      <c r="B730" s="12"/>
      <c r="C730" s="12"/>
      <c r="D730" s="12"/>
      <c r="E730" s="12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customFormat="false" ht="15.75" hidden="false" customHeight="true" outlineLevel="0" collapsed="false">
      <c r="A731" s="12"/>
      <c r="B731" s="12"/>
      <c r="C731" s="12"/>
      <c r="D731" s="12"/>
      <c r="E731" s="12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customFormat="false" ht="15.75" hidden="false" customHeight="true" outlineLevel="0" collapsed="false">
      <c r="A732" s="12"/>
      <c r="B732" s="12"/>
      <c r="C732" s="12"/>
      <c r="D732" s="12"/>
      <c r="E732" s="12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customFormat="false" ht="15.75" hidden="false" customHeight="true" outlineLevel="0" collapsed="false">
      <c r="A733" s="12"/>
      <c r="B733" s="12"/>
      <c r="C733" s="12"/>
      <c r="D733" s="12"/>
      <c r="E733" s="12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customFormat="false" ht="15.75" hidden="false" customHeight="true" outlineLevel="0" collapsed="false">
      <c r="A734" s="12"/>
      <c r="B734" s="12"/>
      <c r="C734" s="12"/>
      <c r="D734" s="12"/>
      <c r="E734" s="12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customFormat="false" ht="15.75" hidden="false" customHeight="true" outlineLevel="0" collapsed="false">
      <c r="A735" s="12"/>
      <c r="B735" s="12"/>
      <c r="C735" s="12"/>
      <c r="D735" s="12"/>
      <c r="E735" s="12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customFormat="false" ht="15.75" hidden="false" customHeight="true" outlineLevel="0" collapsed="false">
      <c r="A736" s="12"/>
      <c r="B736" s="12"/>
      <c r="C736" s="12"/>
      <c r="D736" s="12"/>
      <c r="E736" s="12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customFormat="false" ht="15.75" hidden="false" customHeight="true" outlineLevel="0" collapsed="false">
      <c r="A737" s="12"/>
      <c r="B737" s="12"/>
      <c r="C737" s="12"/>
      <c r="D737" s="12"/>
      <c r="E737" s="12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customFormat="false" ht="15.75" hidden="false" customHeight="true" outlineLevel="0" collapsed="false">
      <c r="A738" s="12"/>
      <c r="B738" s="12"/>
      <c r="C738" s="12"/>
      <c r="D738" s="12"/>
      <c r="E738" s="12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customFormat="false" ht="15.75" hidden="false" customHeight="true" outlineLevel="0" collapsed="false">
      <c r="A739" s="12"/>
      <c r="B739" s="12"/>
      <c r="C739" s="12"/>
      <c r="D739" s="12"/>
      <c r="E739" s="12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customFormat="false" ht="15.75" hidden="false" customHeight="true" outlineLevel="0" collapsed="false">
      <c r="A740" s="12"/>
      <c r="B740" s="12"/>
      <c r="C740" s="12"/>
      <c r="D740" s="12"/>
      <c r="E740" s="12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customFormat="false" ht="15.75" hidden="false" customHeight="true" outlineLevel="0" collapsed="false">
      <c r="A741" s="12"/>
      <c r="B741" s="12"/>
      <c r="C741" s="12"/>
      <c r="D741" s="12"/>
      <c r="E741" s="12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customFormat="false" ht="15.75" hidden="false" customHeight="true" outlineLevel="0" collapsed="false">
      <c r="A742" s="12"/>
      <c r="B742" s="12"/>
      <c r="C742" s="12"/>
      <c r="D742" s="12"/>
      <c r="E742" s="12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customFormat="false" ht="15.75" hidden="false" customHeight="true" outlineLevel="0" collapsed="false">
      <c r="A743" s="12"/>
      <c r="B743" s="12"/>
      <c r="C743" s="12"/>
      <c r="D743" s="12"/>
      <c r="E743" s="12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customFormat="false" ht="15.75" hidden="false" customHeight="true" outlineLevel="0" collapsed="false">
      <c r="A744" s="12"/>
      <c r="B744" s="12"/>
      <c r="C744" s="12"/>
      <c r="D744" s="12"/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customFormat="false" ht="15.75" hidden="false" customHeight="true" outlineLevel="0" collapsed="false">
      <c r="A745" s="12"/>
      <c r="B745" s="12"/>
      <c r="C745" s="12"/>
      <c r="D745" s="12"/>
      <c r="E745" s="12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customFormat="false" ht="15.75" hidden="false" customHeight="true" outlineLevel="0" collapsed="false">
      <c r="A746" s="12"/>
      <c r="B746" s="12"/>
      <c r="C746" s="12"/>
      <c r="D746" s="12"/>
      <c r="E746" s="12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customFormat="false" ht="15.75" hidden="false" customHeight="true" outlineLevel="0" collapsed="false">
      <c r="A747" s="12"/>
      <c r="B747" s="12"/>
      <c r="C747" s="12"/>
      <c r="D747" s="12"/>
      <c r="E747" s="12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customFormat="false" ht="15.75" hidden="false" customHeight="true" outlineLevel="0" collapsed="false">
      <c r="A748" s="12"/>
      <c r="B748" s="12"/>
      <c r="C748" s="12"/>
      <c r="D748" s="12"/>
      <c r="E748" s="12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customFormat="false" ht="15.75" hidden="false" customHeight="true" outlineLevel="0" collapsed="false">
      <c r="A749" s="12"/>
      <c r="B749" s="12"/>
      <c r="C749" s="12"/>
      <c r="D749" s="12"/>
      <c r="E749" s="12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customFormat="false" ht="15.75" hidden="false" customHeight="true" outlineLevel="0" collapsed="false">
      <c r="A750" s="12"/>
      <c r="B750" s="12"/>
      <c r="C750" s="12"/>
      <c r="D750" s="12"/>
      <c r="E750" s="12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customFormat="false" ht="15.75" hidden="false" customHeight="true" outlineLevel="0" collapsed="false">
      <c r="A751" s="12"/>
      <c r="B751" s="12"/>
      <c r="C751" s="12"/>
      <c r="D751" s="12"/>
      <c r="E751" s="12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customFormat="false" ht="15.75" hidden="false" customHeight="true" outlineLevel="0" collapsed="false">
      <c r="A752" s="12"/>
      <c r="B752" s="12"/>
      <c r="C752" s="12"/>
      <c r="D752" s="12"/>
      <c r="E752" s="12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customFormat="false" ht="15.75" hidden="false" customHeight="true" outlineLevel="0" collapsed="false">
      <c r="A753" s="12"/>
      <c r="B753" s="12"/>
      <c r="C753" s="12"/>
      <c r="D753" s="12"/>
      <c r="E753" s="12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customFormat="false" ht="15.75" hidden="false" customHeight="true" outlineLevel="0" collapsed="false">
      <c r="A754" s="12"/>
      <c r="B754" s="12"/>
      <c r="C754" s="12"/>
      <c r="D754" s="12"/>
      <c r="E754" s="12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customFormat="false" ht="15.75" hidden="false" customHeight="true" outlineLevel="0" collapsed="false">
      <c r="A755" s="12"/>
      <c r="B755" s="12"/>
      <c r="C755" s="12"/>
      <c r="D755" s="12"/>
      <c r="E755" s="12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customFormat="false" ht="15.75" hidden="false" customHeight="true" outlineLevel="0" collapsed="false">
      <c r="A756" s="12"/>
      <c r="B756" s="12"/>
      <c r="C756" s="12"/>
      <c r="D756" s="12"/>
      <c r="E756" s="12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customFormat="false" ht="15.75" hidden="false" customHeight="true" outlineLevel="0" collapsed="false">
      <c r="A757" s="12"/>
      <c r="B757" s="12"/>
      <c r="C757" s="12"/>
      <c r="D757" s="12"/>
      <c r="E757" s="12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customFormat="false" ht="15.75" hidden="false" customHeight="true" outlineLevel="0" collapsed="false">
      <c r="A758" s="12"/>
      <c r="B758" s="12"/>
      <c r="C758" s="12"/>
      <c r="D758" s="12"/>
      <c r="E758" s="12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customFormat="false" ht="15.75" hidden="false" customHeight="true" outlineLevel="0" collapsed="false">
      <c r="A759" s="12"/>
      <c r="B759" s="12"/>
      <c r="C759" s="12"/>
      <c r="D759" s="12"/>
      <c r="E759" s="12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customFormat="false" ht="15.75" hidden="false" customHeight="true" outlineLevel="0" collapsed="false">
      <c r="A760" s="12"/>
      <c r="B760" s="12"/>
      <c r="C760" s="12"/>
      <c r="D760" s="12"/>
      <c r="E760" s="12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customFormat="false" ht="15.75" hidden="false" customHeight="true" outlineLevel="0" collapsed="false">
      <c r="A761" s="12"/>
      <c r="B761" s="12"/>
      <c r="C761" s="12"/>
      <c r="D761" s="12"/>
      <c r="E761" s="12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customFormat="false" ht="15.75" hidden="false" customHeight="true" outlineLevel="0" collapsed="false">
      <c r="A762" s="12"/>
      <c r="B762" s="12"/>
      <c r="C762" s="12"/>
      <c r="D762" s="12"/>
      <c r="E762" s="12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customFormat="false" ht="15.75" hidden="false" customHeight="true" outlineLevel="0" collapsed="false">
      <c r="A763" s="12"/>
      <c r="B763" s="12"/>
      <c r="C763" s="12"/>
      <c r="D763" s="12"/>
      <c r="E763" s="12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customFormat="false" ht="15.75" hidden="false" customHeight="true" outlineLevel="0" collapsed="false">
      <c r="A764" s="12"/>
      <c r="B764" s="12"/>
      <c r="C764" s="12"/>
      <c r="D764" s="12"/>
      <c r="E764" s="12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customFormat="false" ht="15.75" hidden="false" customHeight="true" outlineLevel="0" collapsed="false">
      <c r="A765" s="12"/>
      <c r="B765" s="12"/>
      <c r="C765" s="12"/>
      <c r="D765" s="12"/>
      <c r="E765" s="12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customFormat="false" ht="15.75" hidden="false" customHeight="true" outlineLevel="0" collapsed="false">
      <c r="A766" s="12"/>
      <c r="B766" s="12"/>
      <c r="C766" s="12"/>
      <c r="D766" s="12"/>
      <c r="E766" s="12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customFormat="false" ht="15.75" hidden="false" customHeight="true" outlineLevel="0" collapsed="false">
      <c r="A767" s="12"/>
      <c r="B767" s="12"/>
      <c r="C767" s="12"/>
      <c r="D767" s="12"/>
      <c r="E767" s="12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customFormat="false" ht="15.75" hidden="false" customHeight="true" outlineLevel="0" collapsed="false">
      <c r="A768" s="12"/>
      <c r="B768" s="12"/>
      <c r="C768" s="12"/>
      <c r="D768" s="12"/>
      <c r="E768" s="12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customFormat="false" ht="15.75" hidden="false" customHeight="true" outlineLevel="0" collapsed="false">
      <c r="A769" s="12"/>
      <c r="B769" s="12"/>
      <c r="C769" s="12"/>
      <c r="D769" s="12"/>
      <c r="E769" s="12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customFormat="false" ht="15.75" hidden="false" customHeight="true" outlineLevel="0" collapsed="false">
      <c r="A770" s="12"/>
      <c r="B770" s="12"/>
      <c r="C770" s="12"/>
      <c r="D770" s="12"/>
      <c r="E770" s="12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customFormat="false" ht="15.75" hidden="false" customHeight="true" outlineLevel="0" collapsed="false">
      <c r="A771" s="12"/>
      <c r="B771" s="12"/>
      <c r="C771" s="12"/>
      <c r="D771" s="12"/>
      <c r="E771" s="12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customFormat="false" ht="15.75" hidden="false" customHeight="true" outlineLevel="0" collapsed="false">
      <c r="A772" s="12"/>
      <c r="B772" s="12"/>
      <c r="C772" s="12"/>
      <c r="D772" s="12"/>
      <c r="E772" s="12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customFormat="false" ht="15.75" hidden="false" customHeight="true" outlineLevel="0" collapsed="false">
      <c r="A773" s="12"/>
      <c r="B773" s="12"/>
      <c r="C773" s="12"/>
      <c r="D773" s="12"/>
      <c r="E773" s="12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customFormat="false" ht="15.75" hidden="false" customHeight="true" outlineLevel="0" collapsed="false">
      <c r="A774" s="12"/>
      <c r="B774" s="12"/>
      <c r="C774" s="12"/>
      <c r="D774" s="12"/>
      <c r="E774" s="12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customFormat="false" ht="15.75" hidden="false" customHeight="true" outlineLevel="0" collapsed="false">
      <c r="A775" s="12"/>
      <c r="B775" s="12"/>
      <c r="C775" s="12"/>
      <c r="D775" s="12"/>
      <c r="E775" s="12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customFormat="false" ht="15.75" hidden="false" customHeight="true" outlineLevel="0" collapsed="false">
      <c r="A776" s="12"/>
      <c r="B776" s="12"/>
      <c r="C776" s="12"/>
      <c r="D776" s="12"/>
      <c r="E776" s="12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customFormat="false" ht="15.75" hidden="false" customHeight="true" outlineLevel="0" collapsed="false">
      <c r="A777" s="12"/>
      <c r="B777" s="12"/>
      <c r="C777" s="12"/>
      <c r="D777" s="12"/>
      <c r="E777" s="12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customFormat="false" ht="15.75" hidden="false" customHeight="true" outlineLevel="0" collapsed="false">
      <c r="A778" s="12"/>
      <c r="B778" s="12"/>
      <c r="C778" s="12"/>
      <c r="D778" s="12"/>
      <c r="E778" s="12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customFormat="false" ht="15.75" hidden="false" customHeight="true" outlineLevel="0" collapsed="false">
      <c r="A779" s="12"/>
      <c r="B779" s="12"/>
      <c r="C779" s="12"/>
      <c r="D779" s="12"/>
      <c r="E779" s="12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customFormat="false" ht="15.75" hidden="false" customHeight="true" outlineLevel="0" collapsed="false">
      <c r="A780" s="12"/>
      <c r="B780" s="12"/>
      <c r="C780" s="12"/>
      <c r="D780" s="12"/>
      <c r="E780" s="12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customFormat="false" ht="15.75" hidden="false" customHeight="true" outlineLevel="0" collapsed="false">
      <c r="A781" s="12"/>
      <c r="B781" s="12"/>
      <c r="C781" s="12"/>
      <c r="D781" s="12"/>
      <c r="E781" s="12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customFormat="false" ht="15.75" hidden="false" customHeight="true" outlineLevel="0" collapsed="false">
      <c r="A782" s="12"/>
      <c r="B782" s="12"/>
      <c r="C782" s="12"/>
      <c r="D782" s="12"/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customFormat="false" ht="15.75" hidden="false" customHeight="true" outlineLevel="0" collapsed="false">
      <c r="A783" s="12"/>
      <c r="B783" s="12"/>
      <c r="C783" s="12"/>
      <c r="D783" s="12"/>
      <c r="E783" s="12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customFormat="false" ht="15.75" hidden="false" customHeight="true" outlineLevel="0" collapsed="false">
      <c r="A784" s="12"/>
      <c r="B784" s="12"/>
      <c r="C784" s="12"/>
      <c r="D784" s="12"/>
      <c r="E784" s="12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customFormat="false" ht="15.75" hidden="false" customHeight="true" outlineLevel="0" collapsed="false">
      <c r="A785" s="12"/>
      <c r="B785" s="12"/>
      <c r="C785" s="12"/>
      <c r="D785" s="12"/>
      <c r="E785" s="12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customFormat="false" ht="15.75" hidden="false" customHeight="true" outlineLevel="0" collapsed="false">
      <c r="A786" s="12"/>
      <c r="B786" s="12"/>
      <c r="C786" s="12"/>
      <c r="D786" s="12"/>
      <c r="E786" s="12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customFormat="false" ht="15.75" hidden="false" customHeight="true" outlineLevel="0" collapsed="false">
      <c r="A787" s="12"/>
      <c r="B787" s="12"/>
      <c r="C787" s="12"/>
      <c r="D787" s="12"/>
      <c r="E787" s="12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customFormat="false" ht="15.75" hidden="false" customHeight="true" outlineLevel="0" collapsed="false">
      <c r="A788" s="12"/>
      <c r="B788" s="12"/>
      <c r="C788" s="12"/>
      <c r="D788" s="12"/>
      <c r="E788" s="12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customFormat="false" ht="15.75" hidden="false" customHeight="true" outlineLevel="0" collapsed="false">
      <c r="A789" s="12"/>
      <c r="B789" s="12"/>
      <c r="C789" s="12"/>
      <c r="D789" s="12"/>
      <c r="E789" s="12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customFormat="false" ht="15.75" hidden="false" customHeight="true" outlineLevel="0" collapsed="false">
      <c r="A790" s="12"/>
      <c r="B790" s="12"/>
      <c r="C790" s="12"/>
      <c r="D790" s="12"/>
      <c r="E790" s="12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customFormat="false" ht="15.75" hidden="false" customHeight="true" outlineLevel="0" collapsed="false">
      <c r="A791" s="12"/>
      <c r="B791" s="12"/>
      <c r="C791" s="12"/>
      <c r="D791" s="12"/>
      <c r="E791" s="12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customFormat="false" ht="15.75" hidden="false" customHeight="true" outlineLevel="0" collapsed="false">
      <c r="A792" s="12"/>
      <c r="B792" s="12"/>
      <c r="C792" s="12"/>
      <c r="D792" s="12"/>
      <c r="E792" s="12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customFormat="false" ht="15.75" hidden="false" customHeight="true" outlineLevel="0" collapsed="false">
      <c r="A793" s="12"/>
      <c r="B793" s="12"/>
      <c r="C793" s="12"/>
      <c r="D793" s="12"/>
      <c r="E793" s="12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customFormat="false" ht="15.75" hidden="false" customHeight="true" outlineLevel="0" collapsed="false">
      <c r="A794" s="12"/>
      <c r="B794" s="12"/>
      <c r="C794" s="12"/>
      <c r="D794" s="12"/>
      <c r="E794" s="12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customFormat="false" ht="15.75" hidden="false" customHeight="true" outlineLevel="0" collapsed="false">
      <c r="A795" s="12"/>
      <c r="B795" s="12"/>
      <c r="C795" s="12"/>
      <c r="D795" s="12"/>
      <c r="E795" s="12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customFormat="false" ht="15.75" hidden="false" customHeight="true" outlineLevel="0" collapsed="false">
      <c r="A796" s="12"/>
      <c r="B796" s="12"/>
      <c r="C796" s="12"/>
      <c r="D796" s="12"/>
      <c r="E796" s="12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customFormat="false" ht="15.75" hidden="false" customHeight="true" outlineLevel="0" collapsed="false">
      <c r="A797" s="12"/>
      <c r="B797" s="12"/>
      <c r="C797" s="12"/>
      <c r="D797" s="12"/>
      <c r="E797" s="12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customFormat="false" ht="15.75" hidden="false" customHeight="true" outlineLevel="0" collapsed="false">
      <c r="A798" s="12"/>
      <c r="B798" s="12"/>
      <c r="C798" s="12"/>
      <c r="D798" s="12"/>
      <c r="E798" s="12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customFormat="false" ht="15.75" hidden="false" customHeight="true" outlineLevel="0" collapsed="false">
      <c r="A799" s="12"/>
      <c r="B799" s="12"/>
      <c r="C799" s="12"/>
      <c r="D799" s="12"/>
      <c r="E799" s="12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customFormat="false" ht="15.75" hidden="false" customHeight="true" outlineLevel="0" collapsed="false">
      <c r="A800" s="12"/>
      <c r="B800" s="12"/>
      <c r="C800" s="12"/>
      <c r="D800" s="12"/>
      <c r="E800" s="12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customFormat="false" ht="15.75" hidden="false" customHeight="true" outlineLevel="0" collapsed="false">
      <c r="A801" s="12"/>
      <c r="B801" s="12"/>
      <c r="C801" s="12"/>
      <c r="D801" s="12"/>
      <c r="E801" s="12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customFormat="false" ht="15.75" hidden="false" customHeight="true" outlineLevel="0" collapsed="false">
      <c r="A802" s="12"/>
      <c r="B802" s="12"/>
      <c r="C802" s="12"/>
      <c r="D802" s="12"/>
      <c r="E802" s="12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customFormat="false" ht="15.75" hidden="false" customHeight="true" outlineLevel="0" collapsed="false">
      <c r="A803" s="12"/>
      <c r="B803" s="12"/>
      <c r="C803" s="12"/>
      <c r="D803" s="12"/>
      <c r="E803" s="12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customFormat="false" ht="15.75" hidden="false" customHeight="true" outlineLevel="0" collapsed="false">
      <c r="A804" s="12"/>
      <c r="B804" s="12"/>
      <c r="C804" s="12"/>
      <c r="D804" s="12"/>
      <c r="E804" s="12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customFormat="false" ht="15.75" hidden="false" customHeight="true" outlineLevel="0" collapsed="false">
      <c r="A805" s="12"/>
      <c r="B805" s="12"/>
      <c r="C805" s="12"/>
      <c r="D805" s="12"/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customFormat="false" ht="15.75" hidden="false" customHeight="true" outlineLevel="0" collapsed="false">
      <c r="A806" s="12"/>
      <c r="B806" s="12"/>
      <c r="C806" s="12"/>
      <c r="D806" s="12"/>
      <c r="E806" s="12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customFormat="false" ht="15.75" hidden="false" customHeight="true" outlineLevel="0" collapsed="false">
      <c r="A807" s="12"/>
      <c r="B807" s="12"/>
      <c r="C807" s="12"/>
      <c r="D807" s="12"/>
      <c r="E807" s="12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customFormat="false" ht="15.75" hidden="false" customHeight="true" outlineLevel="0" collapsed="false">
      <c r="A808" s="12"/>
      <c r="B808" s="12"/>
      <c r="C808" s="12"/>
      <c r="D808" s="12"/>
      <c r="E808" s="12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customFormat="false" ht="15.75" hidden="false" customHeight="true" outlineLevel="0" collapsed="false">
      <c r="A809" s="12"/>
      <c r="B809" s="12"/>
      <c r="C809" s="12"/>
      <c r="D809" s="12"/>
      <c r="E809" s="12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customFormat="false" ht="15.75" hidden="false" customHeight="true" outlineLevel="0" collapsed="false">
      <c r="A810" s="12"/>
      <c r="B810" s="12"/>
      <c r="C810" s="12"/>
      <c r="D810" s="12"/>
      <c r="E810" s="12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customFormat="false" ht="15.75" hidden="false" customHeight="true" outlineLevel="0" collapsed="false">
      <c r="A811" s="12"/>
      <c r="B811" s="12"/>
      <c r="C811" s="12"/>
      <c r="D811" s="12"/>
      <c r="E811" s="12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customFormat="false" ht="15.75" hidden="false" customHeight="true" outlineLevel="0" collapsed="false">
      <c r="A812" s="12"/>
      <c r="B812" s="12"/>
      <c r="C812" s="12"/>
      <c r="D812" s="12"/>
      <c r="E812" s="12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customFormat="false" ht="15.75" hidden="false" customHeight="true" outlineLevel="0" collapsed="false">
      <c r="A813" s="12"/>
      <c r="B813" s="12"/>
      <c r="C813" s="12"/>
      <c r="D813" s="12"/>
      <c r="E813" s="12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customFormat="false" ht="15.75" hidden="false" customHeight="true" outlineLevel="0" collapsed="false">
      <c r="A814" s="12"/>
      <c r="B814" s="12"/>
      <c r="C814" s="12"/>
      <c r="D814" s="12"/>
      <c r="E814" s="12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customFormat="false" ht="15.75" hidden="false" customHeight="true" outlineLevel="0" collapsed="false">
      <c r="A815" s="12"/>
      <c r="B815" s="12"/>
      <c r="C815" s="12"/>
      <c r="D815" s="12"/>
      <c r="E815" s="12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customFormat="false" ht="15.75" hidden="false" customHeight="true" outlineLevel="0" collapsed="false">
      <c r="A816" s="12"/>
      <c r="B816" s="12"/>
      <c r="C816" s="12"/>
      <c r="D816" s="12"/>
      <c r="E816" s="12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customFormat="false" ht="15.75" hidden="false" customHeight="true" outlineLevel="0" collapsed="false">
      <c r="A817" s="12"/>
      <c r="B817" s="12"/>
      <c r="C817" s="12"/>
      <c r="D817" s="12"/>
      <c r="E817" s="12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customFormat="false" ht="15.75" hidden="false" customHeight="true" outlineLevel="0" collapsed="false">
      <c r="A818" s="12"/>
      <c r="B818" s="12"/>
      <c r="C818" s="12"/>
      <c r="D818" s="12"/>
      <c r="E818" s="12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customFormat="false" ht="15.75" hidden="false" customHeight="true" outlineLevel="0" collapsed="false">
      <c r="A819" s="12"/>
      <c r="B819" s="12"/>
      <c r="C819" s="12"/>
      <c r="D819" s="12"/>
      <c r="E819" s="12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customFormat="false" ht="15.75" hidden="false" customHeight="true" outlineLevel="0" collapsed="false">
      <c r="A820" s="12"/>
      <c r="B820" s="12"/>
      <c r="C820" s="12"/>
      <c r="D820" s="12"/>
      <c r="E820" s="12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customFormat="false" ht="15.75" hidden="false" customHeight="true" outlineLevel="0" collapsed="false">
      <c r="A821" s="12"/>
      <c r="B821" s="12"/>
      <c r="C821" s="12"/>
      <c r="D821" s="12"/>
      <c r="E821" s="12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customFormat="false" ht="15.75" hidden="false" customHeight="true" outlineLevel="0" collapsed="false">
      <c r="A822" s="12"/>
      <c r="B822" s="12"/>
      <c r="C822" s="12"/>
      <c r="D822" s="12"/>
      <c r="E822" s="12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customFormat="false" ht="15.75" hidden="false" customHeight="true" outlineLevel="0" collapsed="false">
      <c r="A823" s="12"/>
      <c r="B823" s="12"/>
      <c r="C823" s="12"/>
      <c r="D823" s="12"/>
      <c r="E823" s="12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customFormat="false" ht="15.75" hidden="false" customHeight="true" outlineLevel="0" collapsed="false">
      <c r="A824" s="12"/>
      <c r="B824" s="12"/>
      <c r="C824" s="12"/>
      <c r="D824" s="12"/>
      <c r="E824" s="12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customFormat="false" ht="15.75" hidden="false" customHeight="true" outlineLevel="0" collapsed="false">
      <c r="A825" s="12"/>
      <c r="B825" s="12"/>
      <c r="C825" s="12"/>
      <c r="D825" s="12"/>
      <c r="E825" s="12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customFormat="false" ht="15.75" hidden="false" customHeight="true" outlineLevel="0" collapsed="false">
      <c r="A826" s="12"/>
      <c r="B826" s="12"/>
      <c r="C826" s="12"/>
      <c r="D826" s="12"/>
      <c r="E826" s="12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customFormat="false" ht="15.75" hidden="false" customHeight="true" outlineLevel="0" collapsed="false">
      <c r="A827" s="12"/>
      <c r="B827" s="12"/>
      <c r="C827" s="12"/>
      <c r="D827" s="12"/>
      <c r="E827" s="12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customFormat="false" ht="15.75" hidden="false" customHeight="true" outlineLevel="0" collapsed="false">
      <c r="A828" s="12"/>
      <c r="B828" s="12"/>
      <c r="C828" s="12"/>
      <c r="D828" s="12"/>
      <c r="E828" s="12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customFormat="false" ht="15.75" hidden="false" customHeight="true" outlineLevel="0" collapsed="false">
      <c r="A829" s="12"/>
      <c r="B829" s="12"/>
      <c r="C829" s="12"/>
      <c r="D829" s="12"/>
      <c r="E829" s="12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customFormat="false" ht="15.75" hidden="false" customHeight="true" outlineLevel="0" collapsed="false">
      <c r="A830" s="12"/>
      <c r="B830" s="12"/>
      <c r="C830" s="12"/>
      <c r="D830" s="12"/>
      <c r="E830" s="12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customFormat="false" ht="15.75" hidden="false" customHeight="true" outlineLevel="0" collapsed="false">
      <c r="A831" s="12"/>
      <c r="B831" s="12"/>
      <c r="C831" s="12"/>
      <c r="D831" s="12"/>
      <c r="E831" s="12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customFormat="false" ht="15.75" hidden="false" customHeight="true" outlineLevel="0" collapsed="false">
      <c r="A832" s="12"/>
      <c r="B832" s="12"/>
      <c r="C832" s="12"/>
      <c r="D832" s="12"/>
      <c r="E832" s="12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customFormat="false" ht="15.75" hidden="false" customHeight="true" outlineLevel="0" collapsed="false">
      <c r="A833" s="12"/>
      <c r="B833" s="12"/>
      <c r="C833" s="12"/>
      <c r="D833" s="12"/>
      <c r="E833" s="12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customFormat="false" ht="15.75" hidden="false" customHeight="true" outlineLevel="0" collapsed="false">
      <c r="A834" s="12"/>
      <c r="B834" s="12"/>
      <c r="C834" s="12"/>
      <c r="D834" s="12"/>
      <c r="E834" s="12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customFormat="false" ht="15.75" hidden="false" customHeight="true" outlineLevel="0" collapsed="false">
      <c r="A835" s="12"/>
      <c r="B835" s="12"/>
      <c r="C835" s="12"/>
      <c r="D835" s="12"/>
      <c r="E835" s="12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customFormat="false" ht="15.75" hidden="false" customHeight="true" outlineLevel="0" collapsed="false">
      <c r="A836" s="12"/>
      <c r="B836" s="12"/>
      <c r="C836" s="12"/>
      <c r="D836" s="12"/>
      <c r="E836" s="12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customFormat="false" ht="15.75" hidden="false" customHeight="true" outlineLevel="0" collapsed="false">
      <c r="A837" s="12"/>
      <c r="B837" s="12"/>
      <c r="C837" s="12"/>
      <c r="D837" s="12"/>
      <c r="E837" s="12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customFormat="false" ht="15.75" hidden="false" customHeight="true" outlineLevel="0" collapsed="false">
      <c r="A838" s="12"/>
      <c r="B838" s="12"/>
      <c r="C838" s="12"/>
      <c r="D838" s="12"/>
      <c r="E838" s="12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customFormat="false" ht="15.75" hidden="false" customHeight="true" outlineLevel="0" collapsed="false">
      <c r="A839" s="12"/>
      <c r="B839" s="12"/>
      <c r="C839" s="12"/>
      <c r="D839" s="12"/>
      <c r="E839" s="12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customFormat="false" ht="15.75" hidden="false" customHeight="true" outlineLevel="0" collapsed="false">
      <c r="A840" s="12"/>
      <c r="B840" s="12"/>
      <c r="C840" s="12"/>
      <c r="D840" s="12"/>
      <c r="E840" s="12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customFormat="false" ht="15.75" hidden="false" customHeight="true" outlineLevel="0" collapsed="false">
      <c r="A841" s="12"/>
      <c r="B841" s="12"/>
      <c r="C841" s="12"/>
      <c r="D841" s="12"/>
      <c r="E841" s="12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customFormat="false" ht="15.75" hidden="false" customHeight="true" outlineLevel="0" collapsed="false">
      <c r="A842" s="12"/>
      <c r="B842" s="12"/>
      <c r="C842" s="12"/>
      <c r="D842" s="12"/>
      <c r="E842" s="12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customFormat="false" ht="15.75" hidden="false" customHeight="true" outlineLevel="0" collapsed="false">
      <c r="A843" s="12"/>
      <c r="B843" s="12"/>
      <c r="C843" s="12"/>
      <c r="D843" s="12"/>
      <c r="E843" s="12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customFormat="false" ht="15.75" hidden="false" customHeight="true" outlineLevel="0" collapsed="false">
      <c r="A844" s="12"/>
      <c r="B844" s="12"/>
      <c r="C844" s="12"/>
      <c r="D844" s="12"/>
      <c r="E844" s="12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customFormat="false" ht="15.75" hidden="false" customHeight="true" outlineLevel="0" collapsed="false">
      <c r="A845" s="12"/>
      <c r="B845" s="12"/>
      <c r="C845" s="12"/>
      <c r="D845" s="12"/>
      <c r="E845" s="12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customFormat="false" ht="15.75" hidden="false" customHeight="true" outlineLevel="0" collapsed="false">
      <c r="A846" s="12"/>
      <c r="B846" s="12"/>
      <c r="C846" s="12"/>
      <c r="D846" s="12"/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customFormat="false" ht="15.75" hidden="false" customHeight="true" outlineLevel="0" collapsed="false">
      <c r="A847" s="12"/>
      <c r="B847" s="12"/>
      <c r="C847" s="12"/>
      <c r="D847" s="12"/>
      <c r="E847" s="12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customFormat="false" ht="15.75" hidden="false" customHeight="true" outlineLevel="0" collapsed="false">
      <c r="A848" s="12"/>
      <c r="B848" s="12"/>
      <c r="C848" s="12"/>
      <c r="D848" s="12"/>
      <c r="E848" s="12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customFormat="false" ht="15.75" hidden="false" customHeight="true" outlineLevel="0" collapsed="false">
      <c r="A849" s="12"/>
      <c r="B849" s="12"/>
      <c r="C849" s="12"/>
      <c r="D849" s="12"/>
      <c r="E849" s="12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customFormat="false" ht="15.75" hidden="false" customHeight="true" outlineLevel="0" collapsed="false">
      <c r="A850" s="12"/>
      <c r="B850" s="12"/>
      <c r="C850" s="12"/>
      <c r="D850" s="12"/>
      <c r="E850" s="12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customFormat="false" ht="15.75" hidden="false" customHeight="true" outlineLevel="0" collapsed="false">
      <c r="A851" s="12"/>
      <c r="B851" s="12"/>
      <c r="C851" s="12"/>
      <c r="D851" s="12"/>
      <c r="E851" s="12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customFormat="false" ht="15.75" hidden="false" customHeight="true" outlineLevel="0" collapsed="false">
      <c r="A852" s="12"/>
      <c r="B852" s="12"/>
      <c r="C852" s="12"/>
      <c r="D852" s="12"/>
      <c r="E852" s="12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customFormat="false" ht="15.75" hidden="false" customHeight="true" outlineLevel="0" collapsed="false">
      <c r="A853" s="12"/>
      <c r="B853" s="12"/>
      <c r="C853" s="12"/>
      <c r="D853" s="12"/>
      <c r="E853" s="12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customFormat="false" ht="15.75" hidden="false" customHeight="true" outlineLevel="0" collapsed="false">
      <c r="A854" s="12"/>
      <c r="B854" s="12"/>
      <c r="C854" s="12"/>
      <c r="D854" s="12"/>
      <c r="E854" s="12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customFormat="false" ht="15.75" hidden="false" customHeight="true" outlineLevel="0" collapsed="false">
      <c r="A855" s="12"/>
      <c r="B855" s="12"/>
      <c r="C855" s="12"/>
      <c r="D855" s="12"/>
      <c r="E855" s="12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customFormat="false" ht="15.75" hidden="false" customHeight="true" outlineLevel="0" collapsed="false">
      <c r="A856" s="12"/>
      <c r="B856" s="12"/>
      <c r="C856" s="12"/>
      <c r="D856" s="12"/>
      <c r="E856" s="12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customFormat="false" ht="15.75" hidden="false" customHeight="true" outlineLevel="0" collapsed="false">
      <c r="A857" s="12"/>
      <c r="B857" s="12"/>
      <c r="C857" s="12"/>
      <c r="D857" s="12"/>
      <c r="E857" s="12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customFormat="false" ht="15.75" hidden="false" customHeight="true" outlineLevel="0" collapsed="false">
      <c r="A858" s="12"/>
      <c r="B858" s="12"/>
      <c r="C858" s="12"/>
      <c r="D858" s="12"/>
      <c r="E858" s="12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customFormat="false" ht="15.75" hidden="false" customHeight="true" outlineLevel="0" collapsed="false">
      <c r="A859" s="12"/>
      <c r="B859" s="12"/>
      <c r="C859" s="12"/>
      <c r="D859" s="12"/>
      <c r="E859" s="12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customFormat="false" ht="15.75" hidden="false" customHeight="true" outlineLevel="0" collapsed="false">
      <c r="A860" s="12"/>
      <c r="B860" s="12"/>
      <c r="C860" s="12"/>
      <c r="D860" s="12"/>
      <c r="E860" s="12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customFormat="false" ht="15.75" hidden="false" customHeight="true" outlineLevel="0" collapsed="false">
      <c r="A861" s="12"/>
      <c r="B861" s="12"/>
      <c r="C861" s="12"/>
      <c r="D861" s="12"/>
      <c r="E861" s="12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customFormat="false" ht="15.75" hidden="false" customHeight="true" outlineLevel="0" collapsed="false">
      <c r="A862" s="12"/>
      <c r="B862" s="12"/>
      <c r="C862" s="12"/>
      <c r="D862" s="12"/>
      <c r="E862" s="12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customFormat="false" ht="15.75" hidden="false" customHeight="true" outlineLevel="0" collapsed="false">
      <c r="A863" s="12"/>
      <c r="B863" s="12"/>
      <c r="C863" s="12"/>
      <c r="D863" s="12"/>
      <c r="E863" s="12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customFormat="false" ht="15.75" hidden="false" customHeight="true" outlineLevel="0" collapsed="false">
      <c r="A864" s="12"/>
      <c r="B864" s="12"/>
      <c r="C864" s="12"/>
      <c r="D864" s="12"/>
      <c r="E864" s="12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customFormat="false" ht="15.75" hidden="false" customHeight="true" outlineLevel="0" collapsed="false">
      <c r="A865" s="12"/>
      <c r="B865" s="12"/>
      <c r="C865" s="12"/>
      <c r="D865" s="12"/>
      <c r="E865" s="12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customFormat="false" ht="15.75" hidden="false" customHeight="true" outlineLevel="0" collapsed="false">
      <c r="A866" s="12"/>
      <c r="B866" s="12"/>
      <c r="C866" s="12"/>
      <c r="D866" s="12"/>
      <c r="E866" s="12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customFormat="false" ht="15.75" hidden="false" customHeight="true" outlineLevel="0" collapsed="false">
      <c r="A867" s="12"/>
      <c r="B867" s="12"/>
      <c r="C867" s="12"/>
      <c r="D867" s="12"/>
      <c r="E867" s="12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customFormat="false" ht="15.75" hidden="false" customHeight="true" outlineLevel="0" collapsed="false">
      <c r="A868" s="12"/>
      <c r="B868" s="12"/>
      <c r="C868" s="12"/>
      <c r="D868" s="12"/>
      <c r="E868" s="12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customFormat="false" ht="15.75" hidden="false" customHeight="true" outlineLevel="0" collapsed="false">
      <c r="A869" s="12"/>
      <c r="B869" s="12"/>
      <c r="C869" s="12"/>
      <c r="D869" s="12"/>
      <c r="E869" s="12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customFormat="false" ht="15.75" hidden="false" customHeight="true" outlineLevel="0" collapsed="false">
      <c r="A870" s="12"/>
      <c r="B870" s="12"/>
      <c r="C870" s="12"/>
      <c r="D870" s="12"/>
      <c r="E870" s="12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customFormat="false" ht="15.75" hidden="false" customHeight="true" outlineLevel="0" collapsed="false">
      <c r="A871" s="12"/>
      <c r="B871" s="12"/>
      <c r="C871" s="12"/>
      <c r="D871" s="12"/>
      <c r="E871" s="12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customFormat="false" ht="15.75" hidden="false" customHeight="true" outlineLevel="0" collapsed="false">
      <c r="A872" s="12"/>
      <c r="B872" s="12"/>
      <c r="C872" s="12"/>
      <c r="D872" s="12"/>
      <c r="E872" s="12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customFormat="false" ht="15.75" hidden="false" customHeight="true" outlineLevel="0" collapsed="false">
      <c r="A873" s="12"/>
      <c r="B873" s="12"/>
      <c r="C873" s="12"/>
      <c r="D873" s="12"/>
      <c r="E873" s="12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customFormat="false" ht="15.75" hidden="false" customHeight="true" outlineLevel="0" collapsed="false">
      <c r="A874" s="12"/>
      <c r="B874" s="12"/>
      <c r="C874" s="12"/>
      <c r="D874" s="12"/>
      <c r="E874" s="12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customFormat="false" ht="15.75" hidden="false" customHeight="true" outlineLevel="0" collapsed="false">
      <c r="A875" s="12"/>
      <c r="B875" s="12"/>
      <c r="C875" s="12"/>
      <c r="D875" s="12"/>
      <c r="E875" s="12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customFormat="false" ht="15.75" hidden="false" customHeight="true" outlineLevel="0" collapsed="false">
      <c r="A876" s="12"/>
      <c r="B876" s="12"/>
      <c r="C876" s="12"/>
      <c r="D876" s="12"/>
      <c r="E876" s="12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customFormat="false" ht="15.75" hidden="false" customHeight="true" outlineLevel="0" collapsed="false">
      <c r="A877" s="12"/>
      <c r="B877" s="12"/>
      <c r="C877" s="12"/>
      <c r="D877" s="12"/>
      <c r="E877" s="12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customFormat="false" ht="15.75" hidden="false" customHeight="true" outlineLevel="0" collapsed="false">
      <c r="A878" s="12"/>
      <c r="B878" s="12"/>
      <c r="C878" s="12"/>
      <c r="D878" s="12"/>
      <c r="E878" s="12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customFormat="false" ht="15.75" hidden="false" customHeight="true" outlineLevel="0" collapsed="false">
      <c r="A879" s="12"/>
      <c r="B879" s="12"/>
      <c r="C879" s="12"/>
      <c r="D879" s="12"/>
      <c r="E879" s="12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customFormat="false" ht="15.75" hidden="false" customHeight="true" outlineLevel="0" collapsed="false">
      <c r="A880" s="12"/>
      <c r="B880" s="12"/>
      <c r="C880" s="12"/>
      <c r="D880" s="12"/>
      <c r="E880" s="12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customFormat="false" ht="15.75" hidden="false" customHeight="true" outlineLevel="0" collapsed="false">
      <c r="A881" s="12"/>
      <c r="B881" s="12"/>
      <c r="C881" s="12"/>
      <c r="D881" s="12"/>
      <c r="E881" s="12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customFormat="false" ht="15.75" hidden="false" customHeight="true" outlineLevel="0" collapsed="false">
      <c r="A882" s="12"/>
      <c r="B882" s="12"/>
      <c r="C882" s="12"/>
      <c r="D882" s="12"/>
      <c r="E882" s="12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customFormat="false" ht="15.75" hidden="false" customHeight="true" outlineLevel="0" collapsed="false">
      <c r="A883" s="12"/>
      <c r="B883" s="12"/>
      <c r="C883" s="12"/>
      <c r="D883" s="12"/>
      <c r="E883" s="12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customFormat="false" ht="15.75" hidden="false" customHeight="true" outlineLevel="0" collapsed="false">
      <c r="A884" s="12"/>
      <c r="B884" s="12"/>
      <c r="C884" s="12"/>
      <c r="D884" s="12"/>
      <c r="E884" s="12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customFormat="false" ht="15.75" hidden="false" customHeight="true" outlineLevel="0" collapsed="false">
      <c r="A885" s="12"/>
      <c r="B885" s="12"/>
      <c r="C885" s="12"/>
      <c r="D885" s="12"/>
      <c r="E885" s="12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customFormat="false" ht="15.75" hidden="false" customHeight="true" outlineLevel="0" collapsed="false">
      <c r="A886" s="12"/>
      <c r="B886" s="12"/>
      <c r="C886" s="12"/>
      <c r="D886" s="12"/>
      <c r="E886" s="12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customFormat="false" ht="15.75" hidden="false" customHeight="true" outlineLevel="0" collapsed="false">
      <c r="A887" s="12"/>
      <c r="B887" s="12"/>
      <c r="C887" s="12"/>
      <c r="D887" s="12"/>
      <c r="E887" s="12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customFormat="false" ht="15.75" hidden="false" customHeight="true" outlineLevel="0" collapsed="false">
      <c r="A888" s="12"/>
      <c r="B888" s="12"/>
      <c r="C888" s="12"/>
      <c r="D888" s="12"/>
      <c r="E888" s="12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customFormat="false" ht="15.75" hidden="false" customHeight="true" outlineLevel="0" collapsed="false">
      <c r="A889" s="12"/>
      <c r="B889" s="12"/>
      <c r="C889" s="12"/>
      <c r="D889" s="12"/>
      <c r="E889" s="12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customFormat="false" ht="15.75" hidden="false" customHeight="true" outlineLevel="0" collapsed="false">
      <c r="A890" s="12"/>
      <c r="B890" s="12"/>
      <c r="C890" s="12"/>
      <c r="D890" s="12"/>
      <c r="E890" s="12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customFormat="false" ht="15.75" hidden="false" customHeight="true" outlineLevel="0" collapsed="false">
      <c r="A891" s="12"/>
      <c r="B891" s="12"/>
      <c r="C891" s="12"/>
      <c r="D891" s="12"/>
      <c r="E891" s="12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customFormat="false" ht="15.75" hidden="false" customHeight="true" outlineLevel="0" collapsed="false">
      <c r="A892" s="12"/>
      <c r="B892" s="12"/>
      <c r="C892" s="12"/>
      <c r="D892" s="12"/>
      <c r="E892" s="12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customFormat="false" ht="15.75" hidden="false" customHeight="true" outlineLevel="0" collapsed="false">
      <c r="A893" s="12"/>
      <c r="B893" s="12"/>
      <c r="C893" s="12"/>
      <c r="D893" s="12"/>
      <c r="E893" s="12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customFormat="false" ht="15.75" hidden="false" customHeight="true" outlineLevel="0" collapsed="false">
      <c r="A894" s="12"/>
      <c r="B894" s="12"/>
      <c r="C894" s="12"/>
      <c r="D894" s="12"/>
      <c r="E894" s="12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customFormat="false" ht="15.75" hidden="false" customHeight="true" outlineLevel="0" collapsed="false">
      <c r="A895" s="12"/>
      <c r="B895" s="12"/>
      <c r="C895" s="12"/>
      <c r="D895" s="12"/>
      <c r="E895" s="12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customFormat="false" ht="15.75" hidden="false" customHeight="true" outlineLevel="0" collapsed="false">
      <c r="A896" s="12"/>
      <c r="B896" s="12"/>
      <c r="C896" s="12"/>
      <c r="D896" s="12"/>
      <c r="E896" s="12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customFormat="false" ht="15.75" hidden="false" customHeight="true" outlineLevel="0" collapsed="false">
      <c r="A897" s="12"/>
      <c r="B897" s="12"/>
      <c r="C897" s="12"/>
      <c r="D897" s="12"/>
      <c r="E897" s="12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customFormat="false" ht="15.75" hidden="false" customHeight="true" outlineLevel="0" collapsed="false">
      <c r="A898" s="12"/>
      <c r="B898" s="12"/>
      <c r="C898" s="12"/>
      <c r="D898" s="12"/>
      <c r="E898" s="12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customFormat="false" ht="15.75" hidden="false" customHeight="true" outlineLevel="0" collapsed="false">
      <c r="A899" s="12"/>
      <c r="B899" s="12"/>
      <c r="C899" s="12"/>
      <c r="D899" s="12"/>
      <c r="E899" s="12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customFormat="false" ht="15.75" hidden="false" customHeight="true" outlineLevel="0" collapsed="false">
      <c r="A900" s="12"/>
      <c r="B900" s="12"/>
      <c r="C900" s="12"/>
      <c r="D900" s="12"/>
      <c r="E900" s="12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customFormat="false" ht="15.75" hidden="false" customHeight="true" outlineLevel="0" collapsed="false">
      <c r="A901" s="12"/>
      <c r="B901" s="12"/>
      <c r="C901" s="12"/>
      <c r="D901" s="12"/>
      <c r="E901" s="12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customFormat="false" ht="15.75" hidden="false" customHeight="true" outlineLevel="0" collapsed="false">
      <c r="A902" s="12"/>
      <c r="B902" s="12"/>
      <c r="C902" s="12"/>
      <c r="D902" s="12"/>
      <c r="E902" s="12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customFormat="false" ht="15.75" hidden="false" customHeight="true" outlineLevel="0" collapsed="false">
      <c r="A903" s="12"/>
      <c r="B903" s="12"/>
      <c r="C903" s="12"/>
      <c r="D903" s="12"/>
      <c r="E903" s="12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customFormat="false" ht="15.75" hidden="false" customHeight="true" outlineLevel="0" collapsed="false">
      <c r="A904" s="12"/>
      <c r="B904" s="12"/>
      <c r="C904" s="12"/>
      <c r="D904" s="12"/>
      <c r="E904" s="12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customFormat="false" ht="15.75" hidden="false" customHeight="true" outlineLevel="0" collapsed="false">
      <c r="A905" s="12"/>
      <c r="B905" s="12"/>
      <c r="C905" s="12"/>
      <c r="D905" s="12"/>
      <c r="E905" s="12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customFormat="false" ht="15.75" hidden="false" customHeight="true" outlineLevel="0" collapsed="false">
      <c r="A906" s="12"/>
      <c r="B906" s="12"/>
      <c r="C906" s="12"/>
      <c r="D906" s="12"/>
      <c r="E906" s="12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customFormat="false" ht="15.75" hidden="false" customHeight="true" outlineLevel="0" collapsed="false">
      <c r="A907" s="12"/>
      <c r="B907" s="12"/>
      <c r="C907" s="12"/>
      <c r="D907" s="12"/>
      <c r="E907" s="12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customFormat="false" ht="15.75" hidden="false" customHeight="true" outlineLevel="0" collapsed="false">
      <c r="A908" s="12"/>
      <c r="B908" s="12"/>
      <c r="C908" s="12"/>
      <c r="D908" s="12"/>
      <c r="E908" s="12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customFormat="false" ht="15.75" hidden="false" customHeight="true" outlineLevel="0" collapsed="false">
      <c r="A909" s="12"/>
      <c r="B909" s="12"/>
      <c r="C909" s="12"/>
      <c r="D909" s="12"/>
      <c r="E909" s="12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customFormat="false" ht="15.75" hidden="false" customHeight="true" outlineLevel="0" collapsed="false">
      <c r="A910" s="12"/>
      <c r="B910" s="12"/>
      <c r="C910" s="12"/>
      <c r="D910" s="12"/>
      <c r="E910" s="12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customFormat="false" ht="15.75" hidden="false" customHeight="true" outlineLevel="0" collapsed="false">
      <c r="A911" s="12"/>
      <c r="B911" s="12"/>
      <c r="C911" s="12"/>
      <c r="D911" s="12"/>
      <c r="E911" s="12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customFormat="false" ht="15.75" hidden="false" customHeight="true" outlineLevel="0" collapsed="false">
      <c r="A912" s="12"/>
      <c r="B912" s="12"/>
      <c r="C912" s="12"/>
      <c r="D912" s="12"/>
      <c r="E912" s="12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customFormat="false" ht="15.75" hidden="false" customHeight="true" outlineLevel="0" collapsed="false">
      <c r="A913" s="12"/>
      <c r="B913" s="12"/>
      <c r="C913" s="12"/>
      <c r="D913" s="12"/>
      <c r="E913" s="12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customFormat="false" ht="15.75" hidden="false" customHeight="true" outlineLevel="0" collapsed="false">
      <c r="A914" s="12"/>
      <c r="B914" s="12"/>
      <c r="C914" s="12"/>
      <c r="D914" s="12"/>
      <c r="E914" s="12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customFormat="false" ht="15.75" hidden="false" customHeight="true" outlineLevel="0" collapsed="false">
      <c r="A915" s="12"/>
      <c r="B915" s="12"/>
      <c r="C915" s="12"/>
      <c r="D915" s="12"/>
      <c r="E915" s="12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customFormat="false" ht="15.75" hidden="false" customHeight="true" outlineLevel="0" collapsed="false">
      <c r="A916" s="12"/>
      <c r="B916" s="12"/>
      <c r="C916" s="12"/>
      <c r="D916" s="12"/>
      <c r="E916" s="12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customFormat="false" ht="15.75" hidden="false" customHeight="true" outlineLevel="0" collapsed="false">
      <c r="A917" s="12"/>
      <c r="B917" s="12"/>
      <c r="C917" s="12"/>
      <c r="D917" s="12"/>
      <c r="E917" s="12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customFormat="false" ht="15.75" hidden="false" customHeight="true" outlineLevel="0" collapsed="false">
      <c r="A918" s="12"/>
      <c r="B918" s="12"/>
      <c r="C918" s="12"/>
      <c r="D918" s="12"/>
      <c r="E918" s="12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customFormat="false" ht="15.75" hidden="false" customHeight="true" outlineLevel="0" collapsed="false">
      <c r="A919" s="12"/>
      <c r="B919" s="12"/>
      <c r="C919" s="12"/>
      <c r="D919" s="12"/>
      <c r="E919" s="12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customFormat="false" ht="15.75" hidden="false" customHeight="true" outlineLevel="0" collapsed="false">
      <c r="A920" s="12"/>
      <c r="B920" s="12"/>
      <c r="C920" s="12"/>
      <c r="D920" s="12"/>
      <c r="E920" s="12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customFormat="false" ht="15.75" hidden="false" customHeight="true" outlineLevel="0" collapsed="false">
      <c r="A921" s="12"/>
      <c r="B921" s="12"/>
      <c r="C921" s="12"/>
      <c r="D921" s="12"/>
      <c r="E921" s="12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customFormat="false" ht="15.75" hidden="false" customHeight="true" outlineLevel="0" collapsed="false">
      <c r="A922" s="12"/>
      <c r="B922" s="12"/>
      <c r="C922" s="12"/>
      <c r="D922" s="12"/>
      <c r="E922" s="12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customFormat="false" ht="15.75" hidden="false" customHeight="true" outlineLevel="0" collapsed="false">
      <c r="A923" s="12"/>
      <c r="B923" s="12"/>
      <c r="C923" s="12"/>
      <c r="D923" s="12"/>
      <c r="E923" s="12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customFormat="false" ht="15.75" hidden="false" customHeight="true" outlineLevel="0" collapsed="false">
      <c r="A924" s="12"/>
      <c r="B924" s="12"/>
      <c r="C924" s="12"/>
      <c r="D924" s="12"/>
      <c r="E924" s="12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customFormat="false" ht="15.75" hidden="false" customHeight="true" outlineLevel="0" collapsed="false">
      <c r="A925" s="12"/>
      <c r="B925" s="12"/>
      <c r="C925" s="12"/>
      <c r="D925" s="12"/>
      <c r="E925" s="12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customFormat="false" ht="15.75" hidden="false" customHeight="true" outlineLevel="0" collapsed="false">
      <c r="A926" s="12"/>
      <c r="B926" s="12"/>
      <c r="C926" s="12"/>
      <c r="D926" s="12"/>
      <c r="E926" s="12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customFormat="false" ht="15.75" hidden="false" customHeight="true" outlineLevel="0" collapsed="false">
      <c r="A927" s="12"/>
      <c r="B927" s="12"/>
      <c r="C927" s="12"/>
      <c r="D927" s="12"/>
      <c r="E927" s="12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customFormat="false" ht="15.75" hidden="false" customHeight="true" outlineLevel="0" collapsed="false">
      <c r="A928" s="12"/>
      <c r="B928" s="12"/>
      <c r="C928" s="12"/>
      <c r="D928" s="12"/>
      <c r="E928" s="12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customFormat="false" ht="15.75" hidden="false" customHeight="true" outlineLevel="0" collapsed="false">
      <c r="A929" s="12"/>
      <c r="B929" s="12"/>
      <c r="C929" s="12"/>
      <c r="D929" s="12"/>
      <c r="E929" s="12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customFormat="false" ht="15.75" hidden="false" customHeight="true" outlineLevel="0" collapsed="false">
      <c r="A930" s="12"/>
      <c r="B930" s="12"/>
      <c r="C930" s="12"/>
      <c r="D930" s="12"/>
      <c r="E930" s="12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customFormat="false" ht="15.75" hidden="false" customHeight="true" outlineLevel="0" collapsed="false">
      <c r="A931" s="12"/>
      <c r="B931" s="12"/>
      <c r="C931" s="12"/>
      <c r="D931" s="12"/>
      <c r="E931" s="12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customFormat="false" ht="15.75" hidden="false" customHeight="true" outlineLevel="0" collapsed="false">
      <c r="A932" s="12"/>
      <c r="B932" s="12"/>
      <c r="C932" s="12"/>
      <c r="D932" s="12"/>
      <c r="E932" s="12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customFormat="false" ht="15.75" hidden="false" customHeight="true" outlineLevel="0" collapsed="false">
      <c r="A933" s="12"/>
      <c r="B933" s="12"/>
      <c r="C933" s="12"/>
      <c r="D933" s="12"/>
      <c r="E933" s="12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customFormat="false" ht="15.75" hidden="false" customHeight="true" outlineLevel="0" collapsed="false">
      <c r="A934" s="12"/>
      <c r="B934" s="12"/>
      <c r="C934" s="12"/>
      <c r="D934" s="12"/>
      <c r="E934" s="12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customFormat="false" ht="15.75" hidden="false" customHeight="true" outlineLevel="0" collapsed="false">
      <c r="A935" s="12"/>
      <c r="B935" s="12"/>
      <c r="C935" s="12"/>
      <c r="D935" s="12"/>
      <c r="E935" s="12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customFormat="false" ht="15.75" hidden="false" customHeight="true" outlineLevel="0" collapsed="false">
      <c r="A936" s="12"/>
      <c r="B936" s="12"/>
      <c r="C936" s="12"/>
      <c r="D936" s="12"/>
      <c r="E936" s="12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customFormat="false" ht="15.75" hidden="false" customHeight="true" outlineLevel="0" collapsed="false">
      <c r="A937" s="12"/>
      <c r="B937" s="12"/>
      <c r="C937" s="12"/>
      <c r="D937" s="12"/>
      <c r="E937" s="12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customFormat="false" ht="15.75" hidden="false" customHeight="true" outlineLevel="0" collapsed="false">
      <c r="A938" s="12"/>
      <c r="B938" s="12"/>
      <c r="C938" s="12"/>
      <c r="D938" s="12"/>
      <c r="E938" s="12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customFormat="false" ht="15.75" hidden="false" customHeight="true" outlineLevel="0" collapsed="false">
      <c r="A939" s="12"/>
      <c r="B939" s="12"/>
      <c r="C939" s="12"/>
      <c r="D939" s="12"/>
      <c r="E939" s="12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customFormat="false" ht="15.75" hidden="false" customHeight="true" outlineLevel="0" collapsed="false">
      <c r="A940" s="12"/>
      <c r="B940" s="12"/>
      <c r="C940" s="12"/>
      <c r="D940" s="12"/>
      <c r="E940" s="12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customFormat="false" ht="15.75" hidden="false" customHeight="true" outlineLevel="0" collapsed="false">
      <c r="A941" s="12"/>
      <c r="B941" s="12"/>
      <c r="C941" s="12"/>
      <c r="D941" s="12"/>
      <c r="E941" s="12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customFormat="false" ht="15.75" hidden="false" customHeight="true" outlineLevel="0" collapsed="false">
      <c r="A942" s="12"/>
      <c r="B942" s="12"/>
      <c r="C942" s="12"/>
      <c r="D942" s="12"/>
      <c r="E942" s="12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customFormat="false" ht="15.75" hidden="false" customHeight="true" outlineLevel="0" collapsed="false">
      <c r="A943" s="12"/>
      <c r="B943" s="12"/>
      <c r="C943" s="12"/>
      <c r="D943" s="12"/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customFormat="false" ht="15.75" hidden="false" customHeight="true" outlineLevel="0" collapsed="false">
      <c r="A944" s="12"/>
      <c r="B944" s="12"/>
      <c r="C944" s="12"/>
      <c r="D944" s="12"/>
      <c r="E944" s="12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customFormat="false" ht="15.75" hidden="false" customHeight="true" outlineLevel="0" collapsed="false">
      <c r="A945" s="12"/>
      <c r="B945" s="12"/>
      <c r="C945" s="12"/>
      <c r="D945" s="12"/>
      <c r="E945" s="12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customFormat="false" ht="15.75" hidden="false" customHeight="true" outlineLevel="0" collapsed="false">
      <c r="A946" s="12"/>
      <c r="B946" s="12"/>
      <c r="C946" s="12"/>
      <c r="D946" s="12"/>
      <c r="E946" s="12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customFormat="false" ht="15.75" hidden="false" customHeight="true" outlineLevel="0" collapsed="false">
      <c r="A947" s="12"/>
      <c r="B947" s="12"/>
      <c r="C947" s="12"/>
      <c r="D947" s="12"/>
      <c r="E947" s="12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customFormat="false" ht="15.75" hidden="false" customHeight="true" outlineLevel="0" collapsed="false">
      <c r="A948" s="12"/>
      <c r="B948" s="12"/>
      <c r="C948" s="12"/>
      <c r="D948" s="12"/>
      <c r="E948" s="12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customFormat="false" ht="15.75" hidden="false" customHeight="true" outlineLevel="0" collapsed="false">
      <c r="A949" s="12"/>
      <c r="B949" s="12"/>
      <c r="C949" s="12"/>
      <c r="D949" s="12"/>
      <c r="E949" s="12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customFormat="false" ht="15.75" hidden="false" customHeight="true" outlineLevel="0" collapsed="false">
      <c r="A950" s="12"/>
      <c r="B950" s="12"/>
      <c r="C950" s="12"/>
      <c r="D950" s="12"/>
      <c r="E950" s="12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customFormat="false" ht="15.75" hidden="false" customHeight="true" outlineLevel="0" collapsed="false">
      <c r="A951" s="12"/>
      <c r="B951" s="12"/>
      <c r="C951" s="12"/>
      <c r="D951" s="12"/>
      <c r="E951" s="12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customFormat="false" ht="15.75" hidden="false" customHeight="true" outlineLevel="0" collapsed="false">
      <c r="A952" s="12"/>
      <c r="B952" s="12"/>
      <c r="C952" s="12"/>
      <c r="D952" s="12"/>
      <c r="E952" s="12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customFormat="false" ht="15.75" hidden="false" customHeight="true" outlineLevel="0" collapsed="false">
      <c r="A953" s="12"/>
      <c r="B953" s="12"/>
      <c r="C953" s="12"/>
      <c r="D953" s="12"/>
      <c r="E953" s="12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customFormat="false" ht="15.75" hidden="false" customHeight="true" outlineLevel="0" collapsed="false">
      <c r="A954" s="12"/>
      <c r="B954" s="12"/>
      <c r="C954" s="12"/>
      <c r="D954" s="12"/>
      <c r="E954" s="12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customFormat="false" ht="15.75" hidden="false" customHeight="true" outlineLevel="0" collapsed="false">
      <c r="A955" s="12"/>
      <c r="B955" s="12"/>
      <c r="C955" s="12"/>
      <c r="D955" s="12"/>
      <c r="E955" s="12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customFormat="false" ht="15.75" hidden="false" customHeight="true" outlineLevel="0" collapsed="false">
      <c r="A956" s="12"/>
      <c r="B956" s="12"/>
      <c r="C956" s="12"/>
      <c r="D956" s="12"/>
      <c r="E956" s="12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customFormat="false" ht="15.75" hidden="false" customHeight="true" outlineLevel="0" collapsed="false">
      <c r="A957" s="12"/>
      <c r="B957" s="12"/>
      <c r="C957" s="12"/>
      <c r="D957" s="12"/>
      <c r="E957" s="12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customFormat="false" ht="15.75" hidden="false" customHeight="true" outlineLevel="0" collapsed="false">
      <c r="A958" s="12"/>
      <c r="B958" s="12"/>
      <c r="C958" s="12"/>
      <c r="D958" s="12"/>
      <c r="E958" s="12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customFormat="false" ht="15.75" hidden="false" customHeight="true" outlineLevel="0" collapsed="false">
      <c r="A959" s="12"/>
      <c r="B959" s="12"/>
      <c r="C959" s="12"/>
      <c r="D959" s="12"/>
      <c r="E959" s="12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customFormat="false" ht="15.75" hidden="false" customHeight="true" outlineLevel="0" collapsed="false">
      <c r="A960" s="12"/>
      <c r="B960" s="12"/>
      <c r="C960" s="12"/>
      <c r="D960" s="12"/>
      <c r="E960" s="12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customFormat="false" ht="15.75" hidden="false" customHeight="true" outlineLevel="0" collapsed="false">
      <c r="A961" s="12"/>
      <c r="B961" s="12"/>
      <c r="C961" s="12"/>
      <c r="D961" s="12"/>
      <c r="E961" s="12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customFormat="false" ht="15.75" hidden="false" customHeight="true" outlineLevel="0" collapsed="false">
      <c r="A962" s="12"/>
      <c r="B962" s="12"/>
      <c r="C962" s="12"/>
      <c r="D962" s="12"/>
      <c r="E962" s="12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customFormat="false" ht="15.75" hidden="false" customHeight="true" outlineLevel="0" collapsed="false">
      <c r="A963" s="12"/>
      <c r="B963" s="12"/>
      <c r="C963" s="12"/>
      <c r="D963" s="12"/>
      <c r="E963" s="12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customFormat="false" ht="15.75" hidden="false" customHeight="true" outlineLevel="0" collapsed="false">
      <c r="A964" s="12"/>
      <c r="B964" s="12"/>
      <c r="C964" s="12"/>
      <c r="D964" s="12"/>
      <c r="E964" s="12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customFormat="false" ht="15.75" hidden="false" customHeight="true" outlineLevel="0" collapsed="false">
      <c r="A965" s="12"/>
      <c r="B965" s="12"/>
      <c r="C965" s="12"/>
      <c r="D965" s="12"/>
      <c r="E965" s="12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customFormat="false" ht="15.75" hidden="false" customHeight="true" outlineLevel="0" collapsed="false">
      <c r="A966" s="12"/>
      <c r="B966" s="12"/>
      <c r="C966" s="12"/>
      <c r="D966" s="12"/>
      <c r="E966" s="12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customFormat="false" ht="15.75" hidden="false" customHeight="true" outlineLevel="0" collapsed="false">
      <c r="A967" s="12"/>
      <c r="B967" s="12"/>
      <c r="C967" s="12"/>
      <c r="D967" s="12"/>
      <c r="E967" s="12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customFormat="false" ht="15.75" hidden="false" customHeight="true" outlineLevel="0" collapsed="false">
      <c r="A968" s="12"/>
      <c r="B968" s="12"/>
      <c r="C968" s="12"/>
      <c r="D968" s="12"/>
      <c r="E968" s="12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customFormat="false" ht="15.75" hidden="false" customHeight="true" outlineLevel="0" collapsed="false">
      <c r="A969" s="12"/>
      <c r="B969" s="12"/>
      <c r="C969" s="12"/>
      <c r="D969" s="12"/>
      <c r="E969" s="12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customFormat="false" ht="15.75" hidden="false" customHeight="true" outlineLevel="0" collapsed="false">
      <c r="A970" s="12"/>
      <c r="B970" s="12"/>
      <c r="C970" s="12"/>
      <c r="D970" s="12"/>
      <c r="E970" s="12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customFormat="false" ht="15.75" hidden="false" customHeight="true" outlineLevel="0" collapsed="false">
      <c r="A971" s="12"/>
      <c r="B971" s="12"/>
      <c r="C971" s="12"/>
      <c r="D971" s="12"/>
      <c r="E971" s="12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customFormat="false" ht="15.75" hidden="false" customHeight="true" outlineLevel="0" collapsed="false">
      <c r="A972" s="12"/>
      <c r="B972" s="12"/>
      <c r="C972" s="12"/>
      <c r="D972" s="12"/>
      <c r="E972" s="12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customFormat="false" ht="15.75" hidden="false" customHeight="true" outlineLevel="0" collapsed="false">
      <c r="A973" s="12"/>
      <c r="B973" s="12"/>
      <c r="C973" s="12"/>
      <c r="D973" s="12"/>
      <c r="E973" s="12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customFormat="false" ht="15.75" hidden="false" customHeight="true" outlineLevel="0" collapsed="false">
      <c r="A974" s="12"/>
      <c r="B974" s="12"/>
      <c r="C974" s="12"/>
      <c r="D974" s="12"/>
      <c r="E974" s="12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customFormat="false" ht="15.75" hidden="false" customHeight="true" outlineLevel="0" collapsed="false">
      <c r="A975" s="12"/>
      <c r="B975" s="12"/>
      <c r="C975" s="12"/>
      <c r="D975" s="12"/>
      <c r="E975" s="12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customFormat="false" ht="15.75" hidden="false" customHeight="true" outlineLevel="0" collapsed="false">
      <c r="A976" s="12"/>
      <c r="B976" s="12"/>
      <c r="C976" s="12"/>
      <c r="D976" s="12"/>
      <c r="E976" s="12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customFormat="false" ht="15.75" hidden="false" customHeight="true" outlineLevel="0" collapsed="false">
      <c r="A977" s="12"/>
      <c r="B977" s="12"/>
      <c r="C977" s="12"/>
      <c r="D977" s="12"/>
      <c r="E977" s="12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customFormat="false" ht="15.75" hidden="false" customHeight="true" outlineLevel="0" collapsed="false">
      <c r="A978" s="12"/>
      <c r="B978" s="12"/>
      <c r="C978" s="12"/>
      <c r="D978" s="12"/>
      <c r="E978" s="12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customFormat="false" ht="15.75" hidden="false" customHeight="true" outlineLevel="0" collapsed="false">
      <c r="A979" s="12"/>
      <c r="B979" s="12"/>
      <c r="C979" s="12"/>
      <c r="D979" s="12"/>
      <c r="E979" s="12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customFormat="false" ht="15.75" hidden="false" customHeight="true" outlineLevel="0" collapsed="false">
      <c r="A980" s="12"/>
      <c r="B980" s="12"/>
      <c r="C980" s="12"/>
      <c r="D980" s="12"/>
      <c r="E980" s="12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customFormat="false" ht="15.75" hidden="false" customHeight="true" outlineLevel="0" collapsed="false">
      <c r="A981" s="12"/>
      <c r="B981" s="12"/>
      <c r="C981" s="12"/>
      <c r="D981" s="12"/>
      <c r="E981" s="12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customFormat="false" ht="15.75" hidden="false" customHeight="true" outlineLevel="0" collapsed="false">
      <c r="A982" s="12"/>
      <c r="B982" s="12"/>
      <c r="C982" s="12"/>
      <c r="D982" s="12"/>
      <c r="E982" s="12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customFormat="false" ht="15.75" hidden="false" customHeight="true" outlineLevel="0" collapsed="false">
      <c r="A983" s="12"/>
      <c r="B983" s="12"/>
      <c r="C983" s="12"/>
      <c r="D983" s="12"/>
      <c r="E983" s="12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customFormat="false" ht="15.75" hidden="false" customHeight="true" outlineLevel="0" collapsed="false">
      <c r="A984" s="12"/>
      <c r="B984" s="12"/>
      <c r="C984" s="12"/>
      <c r="D984" s="12"/>
      <c r="E984" s="12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customFormat="false" ht="15.75" hidden="false" customHeight="true" outlineLevel="0" collapsed="false">
      <c r="A985" s="12"/>
      <c r="B985" s="12"/>
      <c r="C985" s="12"/>
      <c r="D985" s="12"/>
      <c r="E985" s="12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customFormat="false" ht="15.75" hidden="false" customHeight="true" outlineLevel="0" collapsed="false">
      <c r="A986" s="12"/>
      <c r="B986" s="12"/>
      <c r="C986" s="12"/>
      <c r="D986" s="12"/>
      <c r="E986" s="12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customFormat="false" ht="15.75" hidden="false" customHeight="true" outlineLevel="0" collapsed="false">
      <c r="A987" s="12"/>
      <c r="B987" s="12"/>
      <c r="C987" s="12"/>
      <c r="D987" s="12"/>
      <c r="E987" s="12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customFormat="false" ht="15.75" hidden="false" customHeight="true" outlineLevel="0" collapsed="false">
      <c r="A988" s="12"/>
      <c r="B988" s="12"/>
      <c r="C988" s="12"/>
      <c r="D988" s="12"/>
      <c r="E988" s="12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customFormat="false" ht="15.75" hidden="false" customHeight="true" outlineLevel="0" collapsed="false">
      <c r="A989" s="12"/>
      <c r="B989" s="12"/>
      <c r="C989" s="12"/>
      <c r="D989" s="12"/>
      <c r="E989" s="12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customFormat="false" ht="15.75" hidden="false" customHeight="true" outlineLevel="0" collapsed="false">
      <c r="A990" s="12"/>
      <c r="B990" s="12"/>
      <c r="C990" s="12"/>
      <c r="D990" s="12"/>
      <c r="E990" s="12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customFormat="false" ht="15.75" hidden="false" customHeight="true" outlineLevel="0" collapsed="false">
      <c r="A991" s="12"/>
      <c r="B991" s="12"/>
      <c r="C991" s="12"/>
      <c r="D991" s="12"/>
      <c r="E991" s="12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customFormat="false" ht="15.75" hidden="false" customHeight="true" outlineLevel="0" collapsed="false">
      <c r="A992" s="12"/>
      <c r="B992" s="12"/>
      <c r="C992" s="12"/>
      <c r="D992" s="12"/>
      <c r="E992" s="12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customFormat="false" ht="15.75" hidden="false" customHeight="true" outlineLevel="0" collapsed="false">
      <c r="A993" s="12"/>
      <c r="B993" s="12"/>
      <c r="C993" s="12"/>
      <c r="D993" s="12"/>
      <c r="E993" s="12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customFormat="false" ht="15.75" hidden="false" customHeight="true" outlineLevel="0" collapsed="false">
      <c r="A994" s="12"/>
      <c r="B994" s="12"/>
      <c r="C994" s="12"/>
      <c r="D994" s="12"/>
      <c r="E994" s="12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customFormat="false" ht="15.75" hidden="false" customHeight="true" outlineLevel="0" collapsed="false">
      <c r="A995" s="12"/>
      <c r="B995" s="12"/>
      <c r="C995" s="12"/>
      <c r="D995" s="12"/>
      <c r="E995" s="12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customFormat="false" ht="15.75" hidden="false" customHeight="true" outlineLevel="0" collapsed="false">
      <c r="A996" s="12"/>
      <c r="B996" s="12"/>
      <c r="C996" s="12"/>
      <c r="D996" s="12"/>
      <c r="E996" s="12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customFormat="false" ht="15.75" hidden="false" customHeight="true" outlineLevel="0" collapsed="false">
      <c r="A997" s="12"/>
      <c r="B997" s="12"/>
      <c r="C997" s="12"/>
      <c r="D997" s="12"/>
      <c r="E997" s="12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customFormat="false" ht="15.75" hidden="false" customHeight="true" outlineLevel="0" collapsed="false">
      <c r="A998" s="12"/>
      <c r="B998" s="12"/>
      <c r="C998" s="12"/>
      <c r="D998" s="12"/>
      <c r="E998" s="12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customFormat="false" ht="15.75" hidden="false" customHeight="true" outlineLevel="0" collapsed="false">
      <c r="A999" s="12"/>
      <c r="B999" s="12"/>
      <c r="C999" s="12"/>
      <c r="D999" s="12"/>
      <c r="E999" s="12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customFormat="false" ht="15.75" hidden="false" customHeight="true" outlineLevel="0" collapsed="false">
      <c r="A1000" s="12"/>
      <c r="B1000" s="12"/>
      <c r="C1000" s="12"/>
      <c r="D1000" s="12"/>
      <c r="E1000" s="12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  <row r="1001" customFormat="false" ht="15.75" hidden="false" customHeight="true" outlineLevel="0" collapsed="false">
      <c r="A1001" s="12"/>
      <c r="B1001" s="12"/>
      <c r="C1001" s="12"/>
      <c r="D1001" s="12"/>
      <c r="E1001" s="12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</row>
    <row r="1002" customFormat="false" ht="15.75" hidden="false" customHeight="true" outlineLevel="0" collapsed="false">
      <c r="A1002" s="12"/>
      <c r="B1002" s="12"/>
      <c r="C1002" s="12"/>
      <c r="D1002" s="12"/>
      <c r="E1002" s="12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</row>
    <row r="1003" customFormat="false" ht="15.75" hidden="false" customHeight="true" outlineLevel="0" collapsed="false">
      <c r="A1003" s="12"/>
      <c r="B1003" s="12"/>
      <c r="C1003" s="12"/>
      <c r="D1003" s="12"/>
      <c r="E1003" s="12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</row>
    <row r="1004" customFormat="false" ht="15.75" hidden="false" customHeight="true" outlineLevel="0" collapsed="false">
      <c r="A1004" s="12"/>
      <c r="B1004" s="12"/>
      <c r="C1004" s="12"/>
      <c r="D1004" s="12"/>
      <c r="E1004" s="12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</row>
    <row r="1005" customFormat="false" ht="15.75" hidden="false" customHeight="true" outlineLevel="0" collapsed="false">
      <c r="A1005" s="12"/>
      <c r="B1005" s="12"/>
      <c r="C1005" s="12"/>
      <c r="D1005" s="12"/>
      <c r="E1005" s="12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</row>
    <row r="1006" customFormat="false" ht="15.75" hidden="false" customHeight="true" outlineLevel="0" collapsed="false">
      <c r="A1006" s="12"/>
      <c r="B1006" s="12"/>
      <c r="C1006" s="12"/>
      <c r="D1006" s="12"/>
      <c r="E1006" s="12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</row>
    <row r="1007" customFormat="false" ht="15.75" hidden="false" customHeight="true" outlineLevel="0" collapsed="false">
      <c r="A1007" s="12"/>
      <c r="B1007" s="12"/>
      <c r="C1007" s="12"/>
      <c r="D1007" s="12"/>
      <c r="E1007" s="12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</row>
    <row r="1008" customFormat="false" ht="15.75" hidden="false" customHeight="true" outlineLevel="0" collapsed="false">
      <c r="A1008" s="12"/>
      <c r="B1008" s="12"/>
      <c r="C1008" s="12"/>
      <c r="D1008" s="12"/>
      <c r="E1008" s="12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</row>
    <row r="1009" customFormat="false" ht="15.75" hidden="false" customHeight="true" outlineLevel="0" collapsed="false">
      <c r="A1009" s="12"/>
      <c r="B1009" s="12"/>
      <c r="C1009" s="12"/>
      <c r="D1009" s="12"/>
      <c r="E1009" s="12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</row>
    <row r="1010" customFormat="false" ht="15.75" hidden="false" customHeight="true" outlineLevel="0" collapsed="false">
      <c r="A1010" s="12"/>
      <c r="B1010" s="12"/>
      <c r="C1010" s="12"/>
      <c r="D1010" s="12"/>
      <c r="E1010" s="12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</row>
    <row r="1011" customFormat="false" ht="15.75" hidden="false" customHeight="true" outlineLevel="0" collapsed="false">
      <c r="A1011" s="12"/>
      <c r="B1011" s="12"/>
      <c r="C1011" s="12"/>
      <c r="D1011" s="12"/>
      <c r="E1011" s="12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</row>
    <row r="1012" customFormat="false" ht="15.75" hidden="false" customHeight="true" outlineLevel="0" collapsed="false">
      <c r="A1012" s="12"/>
      <c r="B1012" s="12"/>
      <c r="C1012" s="12"/>
      <c r="D1012" s="12"/>
      <c r="E1012" s="12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</row>
    <row r="1013" customFormat="false" ht="15.75" hidden="false" customHeight="true" outlineLevel="0" collapsed="false">
      <c r="A1013" s="12"/>
      <c r="B1013" s="12"/>
      <c r="C1013" s="12"/>
      <c r="D1013" s="12"/>
      <c r="E1013" s="12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</row>
    <row r="1014" customFormat="false" ht="15.75" hidden="false" customHeight="true" outlineLevel="0" collapsed="false">
      <c r="A1014" s="12"/>
      <c r="B1014" s="12"/>
      <c r="C1014" s="12"/>
      <c r="D1014" s="12"/>
      <c r="E1014" s="12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</row>
    <row r="1015" customFormat="false" ht="15.75" hidden="false" customHeight="true" outlineLevel="0" collapsed="false">
      <c r="A1015" s="12"/>
      <c r="B1015" s="12"/>
      <c r="C1015" s="12"/>
      <c r="D1015" s="12"/>
      <c r="E1015" s="12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</row>
    <row r="1016" customFormat="false" ht="15.75" hidden="false" customHeight="true" outlineLevel="0" collapsed="false">
      <c r="A1016" s="12"/>
      <c r="B1016" s="12"/>
      <c r="C1016" s="12"/>
      <c r="D1016" s="12"/>
      <c r="E1016" s="12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</row>
    <row r="1017" customFormat="false" ht="15.75" hidden="false" customHeight="true" outlineLevel="0" collapsed="false">
      <c r="A1017" s="12"/>
      <c r="B1017" s="12"/>
      <c r="C1017" s="12"/>
      <c r="D1017" s="12"/>
      <c r="E1017" s="12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</row>
    <row r="1018" customFormat="false" ht="15.75" hidden="false" customHeight="true" outlineLevel="0" collapsed="false">
      <c r="A1018" s="12"/>
      <c r="B1018" s="12"/>
      <c r="C1018" s="12"/>
      <c r="D1018" s="12"/>
      <c r="E1018" s="12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</row>
    <row r="1019" customFormat="false" ht="15.75" hidden="false" customHeight="true" outlineLevel="0" collapsed="false">
      <c r="A1019" s="12"/>
      <c r="B1019" s="12"/>
      <c r="C1019" s="12"/>
      <c r="D1019" s="12"/>
      <c r="E1019" s="12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</row>
    <row r="1020" customFormat="false" ht="15.75" hidden="false" customHeight="true" outlineLevel="0" collapsed="false">
      <c r="A1020" s="12"/>
      <c r="B1020" s="12"/>
      <c r="C1020" s="12"/>
      <c r="D1020" s="12"/>
      <c r="E1020" s="12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</row>
    <row r="1021" customFormat="false" ht="15.75" hidden="false" customHeight="true" outlineLevel="0" collapsed="false">
      <c r="A1021" s="12"/>
      <c r="B1021" s="12"/>
      <c r="C1021" s="12"/>
      <c r="D1021" s="12"/>
      <c r="E1021" s="12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</row>
    <row r="1022" customFormat="false" ht="15.75" hidden="false" customHeight="true" outlineLevel="0" collapsed="false">
      <c r="A1022" s="12"/>
      <c r="B1022" s="12"/>
      <c r="C1022" s="12"/>
      <c r="D1022" s="12"/>
      <c r="E1022" s="12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</row>
    <row r="1023" customFormat="false" ht="15.75" hidden="false" customHeight="true" outlineLevel="0" collapsed="false">
      <c r="A1023" s="12"/>
      <c r="B1023" s="12"/>
      <c r="C1023" s="12"/>
      <c r="D1023" s="12"/>
      <c r="E1023" s="12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</row>
    <row r="1024" customFormat="false" ht="15.75" hidden="false" customHeight="true" outlineLevel="0" collapsed="false">
      <c r="A1024" s="12"/>
      <c r="B1024" s="12"/>
      <c r="C1024" s="12"/>
      <c r="D1024" s="12"/>
      <c r="E1024" s="12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</row>
    <row r="1025" customFormat="false" ht="15.75" hidden="false" customHeight="true" outlineLevel="0" collapsed="false">
      <c r="A1025" s="12"/>
      <c r="B1025" s="12"/>
      <c r="C1025" s="12"/>
      <c r="D1025" s="12"/>
      <c r="E1025" s="12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</row>
    <row r="1026" customFormat="false" ht="15.75" hidden="false" customHeight="true" outlineLevel="0" collapsed="false">
      <c r="A1026" s="12"/>
      <c r="B1026" s="12"/>
      <c r="C1026" s="12"/>
      <c r="D1026" s="12"/>
      <c r="E1026" s="12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</row>
    <row r="1027" customFormat="false" ht="15.75" hidden="false" customHeight="true" outlineLevel="0" collapsed="false">
      <c r="A1027" s="12"/>
      <c r="B1027" s="12"/>
      <c r="C1027" s="12"/>
      <c r="D1027" s="12"/>
      <c r="E1027" s="12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</row>
    <row r="1028" customFormat="false" ht="15.75" hidden="false" customHeight="true" outlineLevel="0" collapsed="false">
      <c r="A1028" s="12"/>
      <c r="B1028" s="12"/>
      <c r="C1028" s="12"/>
      <c r="D1028" s="12"/>
      <c r="E1028" s="12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</row>
    <row r="1029" customFormat="false" ht="15.75" hidden="false" customHeight="true" outlineLevel="0" collapsed="false">
      <c r="A1029" s="12"/>
      <c r="B1029" s="12"/>
      <c r="C1029" s="12"/>
      <c r="D1029" s="12"/>
      <c r="E1029" s="12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</row>
    <row r="1030" customFormat="false" ht="15.75" hidden="false" customHeight="true" outlineLevel="0" collapsed="false">
      <c r="A1030" s="12"/>
      <c r="B1030" s="12"/>
      <c r="C1030" s="12"/>
      <c r="D1030" s="12"/>
      <c r="E1030" s="12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</row>
    <row r="1031" customFormat="false" ht="15.75" hidden="false" customHeight="true" outlineLevel="0" collapsed="false">
      <c r="A1031" s="12"/>
      <c r="B1031" s="12"/>
      <c r="C1031" s="12"/>
      <c r="D1031" s="12"/>
      <c r="E1031" s="12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</row>
    <row r="1032" customFormat="false" ht="15.75" hidden="false" customHeight="true" outlineLevel="0" collapsed="false">
      <c r="A1032" s="12"/>
      <c r="B1032" s="12"/>
      <c r="C1032" s="12"/>
      <c r="D1032" s="12"/>
      <c r="E1032" s="12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</row>
    <row r="1033" customFormat="false" ht="15.75" hidden="false" customHeight="true" outlineLevel="0" collapsed="false">
      <c r="A1033" s="12"/>
      <c r="B1033" s="12"/>
      <c r="C1033" s="12"/>
      <c r="D1033" s="12"/>
      <c r="E1033" s="12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</row>
    <row r="1034" customFormat="false" ht="15.75" hidden="false" customHeight="true" outlineLevel="0" collapsed="false">
      <c r="A1034" s="12"/>
      <c r="B1034" s="12"/>
      <c r="C1034" s="12"/>
      <c r="D1034" s="12"/>
      <c r="E1034" s="12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</row>
    <row r="1035" customFormat="false" ht="15.75" hidden="false" customHeight="true" outlineLevel="0" collapsed="false">
      <c r="A1035" s="12"/>
      <c r="B1035" s="12"/>
      <c r="C1035" s="12"/>
      <c r="D1035" s="12"/>
      <c r="E1035" s="12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</row>
    <row r="1036" customFormat="false" ht="15.75" hidden="false" customHeight="true" outlineLevel="0" collapsed="false">
      <c r="A1036" s="12"/>
      <c r="B1036" s="12"/>
      <c r="C1036" s="12"/>
      <c r="D1036" s="12"/>
      <c r="E1036" s="12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</row>
    <row r="1037" customFormat="false" ht="15.75" hidden="false" customHeight="true" outlineLevel="0" collapsed="false">
      <c r="A1037" s="12"/>
      <c r="B1037" s="12"/>
      <c r="C1037" s="12"/>
      <c r="D1037" s="12"/>
      <c r="E1037" s="12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</row>
    <row r="1038" customFormat="false" ht="15.75" hidden="false" customHeight="true" outlineLevel="0" collapsed="false">
      <c r="A1038" s="12"/>
      <c r="B1038" s="12"/>
      <c r="C1038" s="12"/>
      <c r="D1038" s="12"/>
      <c r="E1038" s="12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</row>
    <row r="1039" customFormat="false" ht="15.75" hidden="false" customHeight="true" outlineLevel="0" collapsed="false">
      <c r="A1039" s="12"/>
      <c r="B1039" s="12"/>
      <c r="C1039" s="12"/>
      <c r="D1039" s="12"/>
      <c r="E1039" s="12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</row>
    <row r="1040" customFormat="false" ht="15.75" hidden="false" customHeight="true" outlineLevel="0" collapsed="false">
      <c r="A1040" s="12"/>
      <c r="B1040" s="12"/>
      <c r="C1040" s="12"/>
      <c r="D1040" s="12"/>
      <c r="E1040" s="12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</row>
    <row r="1041" customFormat="false" ht="15.75" hidden="false" customHeight="true" outlineLevel="0" collapsed="false">
      <c r="A1041" s="12"/>
      <c r="B1041" s="12"/>
      <c r="C1041" s="12"/>
      <c r="D1041" s="12"/>
      <c r="E1041" s="12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</row>
    <row r="1042" customFormat="false" ht="15.75" hidden="false" customHeight="true" outlineLevel="0" collapsed="false">
      <c r="A1042" s="12"/>
      <c r="B1042" s="12"/>
      <c r="C1042" s="12"/>
      <c r="D1042" s="12"/>
      <c r="E1042" s="12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</row>
    <row r="1043" customFormat="false" ht="15.75" hidden="false" customHeight="true" outlineLevel="0" collapsed="false">
      <c r="A1043" s="12"/>
      <c r="B1043" s="12"/>
      <c r="C1043" s="12"/>
      <c r="D1043" s="12"/>
      <c r="E1043" s="12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</row>
    <row r="1044" customFormat="false" ht="15.75" hidden="false" customHeight="true" outlineLevel="0" collapsed="false">
      <c r="A1044" s="12"/>
      <c r="B1044" s="12"/>
      <c r="C1044" s="12"/>
      <c r="D1044" s="12"/>
      <c r="E1044" s="12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</row>
    <row r="1045" customFormat="false" ht="15.75" hidden="false" customHeight="true" outlineLevel="0" collapsed="false">
      <c r="A1045" s="12"/>
      <c r="B1045" s="12"/>
      <c r="C1045" s="12"/>
      <c r="D1045" s="12"/>
      <c r="E1045" s="12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</row>
    <row r="1046" customFormat="false" ht="15.75" hidden="false" customHeight="true" outlineLevel="0" collapsed="false">
      <c r="A1046" s="12"/>
      <c r="B1046" s="12"/>
      <c r="C1046" s="12"/>
      <c r="D1046" s="12"/>
      <c r="E1046" s="12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</row>
    <row r="1047" customFormat="false" ht="15.75" hidden="false" customHeight="true" outlineLevel="0" collapsed="false">
      <c r="A1047" s="12"/>
      <c r="B1047" s="12"/>
      <c r="C1047" s="12"/>
      <c r="D1047" s="12"/>
      <c r="E1047" s="12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</row>
    <row r="1048" customFormat="false" ht="15.75" hidden="false" customHeight="true" outlineLevel="0" collapsed="false">
      <c r="A1048" s="12"/>
      <c r="B1048" s="12"/>
      <c r="C1048" s="12"/>
      <c r="D1048" s="12"/>
      <c r="E1048" s="12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</row>
    <row r="1049" customFormat="false" ht="15.75" hidden="false" customHeight="true" outlineLevel="0" collapsed="false">
      <c r="A1049" s="12"/>
      <c r="B1049" s="12"/>
      <c r="C1049" s="12"/>
      <c r="D1049" s="12"/>
      <c r="E1049" s="12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</row>
    <row r="1050" customFormat="false" ht="15.75" hidden="false" customHeight="true" outlineLevel="0" collapsed="false">
      <c r="A1050" s="12"/>
      <c r="B1050" s="12"/>
      <c r="C1050" s="12"/>
      <c r="D1050" s="12"/>
      <c r="E1050" s="12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</row>
    <row r="1051" customFormat="false" ht="15.75" hidden="false" customHeight="true" outlineLevel="0" collapsed="false">
      <c r="A1051" s="12"/>
      <c r="B1051" s="12"/>
      <c r="C1051" s="12"/>
      <c r="D1051" s="12"/>
      <c r="E1051" s="12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</row>
    <row r="1052" customFormat="false" ht="15.75" hidden="false" customHeight="true" outlineLevel="0" collapsed="false">
      <c r="A1052" s="12"/>
      <c r="B1052" s="12"/>
      <c r="C1052" s="12"/>
      <c r="D1052" s="12"/>
      <c r="E1052" s="12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</row>
    <row r="1053" customFormat="false" ht="15.75" hidden="false" customHeight="true" outlineLevel="0" collapsed="false">
      <c r="A1053" s="12"/>
      <c r="B1053" s="12"/>
      <c r="C1053" s="12"/>
      <c r="D1053" s="12"/>
      <c r="E1053" s="12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</row>
    <row r="1054" customFormat="false" ht="15.75" hidden="false" customHeight="true" outlineLevel="0" collapsed="false">
      <c r="A1054" s="12"/>
      <c r="B1054" s="12"/>
      <c r="C1054" s="12"/>
      <c r="D1054" s="12"/>
      <c r="E1054" s="12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</row>
    <row r="1055" customFormat="false" ht="15.75" hidden="false" customHeight="true" outlineLevel="0" collapsed="false">
      <c r="A1055" s="12"/>
      <c r="B1055" s="12"/>
      <c r="C1055" s="12"/>
      <c r="D1055" s="12"/>
      <c r="E1055" s="12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</row>
    <row r="1056" customFormat="false" ht="15.75" hidden="false" customHeight="true" outlineLevel="0" collapsed="false">
      <c r="A1056" s="12"/>
      <c r="B1056" s="12"/>
      <c r="C1056" s="12"/>
      <c r="D1056" s="12"/>
      <c r="E1056" s="12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</row>
    <row r="1057" customFormat="false" ht="15.75" hidden="false" customHeight="true" outlineLevel="0" collapsed="false">
      <c r="A1057" s="12"/>
      <c r="B1057" s="12"/>
      <c r="C1057" s="12"/>
      <c r="D1057" s="12"/>
      <c r="E1057" s="12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</row>
    <row r="1058" customFormat="false" ht="15.75" hidden="false" customHeight="true" outlineLevel="0" collapsed="false">
      <c r="A1058" s="12"/>
      <c r="B1058" s="12"/>
      <c r="C1058" s="12"/>
      <c r="D1058" s="12"/>
      <c r="E1058" s="12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</row>
    <row r="1059" customFormat="false" ht="15.75" hidden="false" customHeight="true" outlineLevel="0" collapsed="false">
      <c r="A1059" s="12"/>
      <c r="B1059" s="12"/>
      <c r="C1059" s="12"/>
      <c r="D1059" s="12"/>
      <c r="E1059" s="12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</row>
    <row r="1060" customFormat="false" ht="15.75" hidden="false" customHeight="true" outlineLevel="0" collapsed="false">
      <c r="A1060" s="12"/>
      <c r="B1060" s="12"/>
      <c r="C1060" s="12"/>
      <c r="D1060" s="12"/>
      <c r="E1060" s="12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</row>
    <row r="1061" customFormat="false" ht="15.75" hidden="false" customHeight="true" outlineLevel="0" collapsed="false">
      <c r="A1061" s="12"/>
      <c r="B1061" s="12"/>
      <c r="C1061" s="12"/>
      <c r="D1061" s="12"/>
      <c r="E1061" s="12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</row>
    <row r="1062" customFormat="false" ht="15.75" hidden="false" customHeight="true" outlineLevel="0" collapsed="false">
      <c r="A1062" s="12"/>
      <c r="B1062" s="12"/>
      <c r="C1062" s="12"/>
      <c r="D1062" s="12"/>
      <c r="E1062" s="12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</row>
    <row r="1063" customFormat="false" ht="15.75" hidden="false" customHeight="true" outlineLevel="0" collapsed="false">
      <c r="A1063" s="12"/>
      <c r="B1063" s="12"/>
      <c r="C1063" s="12"/>
      <c r="D1063" s="12"/>
      <c r="E1063" s="12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</row>
    <row r="1064" customFormat="false" ht="15.75" hidden="false" customHeight="true" outlineLevel="0" collapsed="false">
      <c r="A1064" s="12"/>
      <c r="B1064" s="12"/>
      <c r="C1064" s="12"/>
      <c r="D1064" s="12"/>
      <c r="E1064" s="12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</row>
    <row r="1065" customFormat="false" ht="15.75" hidden="false" customHeight="true" outlineLevel="0" collapsed="false">
      <c r="A1065" s="12"/>
      <c r="B1065" s="12"/>
      <c r="C1065" s="12"/>
      <c r="D1065" s="12"/>
      <c r="E1065" s="12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</row>
    <row r="1066" customFormat="false" ht="15.75" hidden="false" customHeight="true" outlineLevel="0" collapsed="false">
      <c r="A1066" s="12"/>
      <c r="B1066" s="12"/>
      <c r="C1066" s="12"/>
      <c r="D1066" s="12"/>
      <c r="E1066" s="12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</row>
    <row r="1067" customFormat="false" ht="15.75" hidden="false" customHeight="true" outlineLevel="0" collapsed="false">
      <c r="A1067" s="12"/>
      <c r="B1067" s="12"/>
      <c r="C1067" s="12"/>
      <c r="D1067" s="12"/>
      <c r="E1067" s="12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</row>
    <row r="1068" customFormat="false" ht="15.75" hidden="false" customHeight="true" outlineLevel="0" collapsed="false">
      <c r="A1068" s="12"/>
      <c r="B1068" s="12"/>
      <c r="C1068" s="12"/>
      <c r="D1068" s="12"/>
      <c r="E1068" s="12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</row>
    <row r="1069" customFormat="false" ht="15.75" hidden="false" customHeight="true" outlineLevel="0" collapsed="false">
      <c r="A1069" s="12"/>
      <c r="B1069" s="12"/>
      <c r="C1069" s="12"/>
      <c r="D1069" s="12"/>
      <c r="E1069" s="12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</row>
    <row r="1070" customFormat="false" ht="15.75" hidden="false" customHeight="true" outlineLevel="0" collapsed="false">
      <c r="A1070" s="12"/>
      <c r="B1070" s="12"/>
      <c r="C1070" s="12"/>
      <c r="D1070" s="12"/>
      <c r="E1070" s="12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</row>
    <row r="1071" customFormat="false" ht="15.75" hidden="false" customHeight="true" outlineLevel="0" collapsed="false">
      <c r="A1071" s="12"/>
      <c r="B1071" s="12"/>
      <c r="C1071" s="12"/>
      <c r="D1071" s="12"/>
      <c r="E1071" s="12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</row>
    <row r="1072" customFormat="false" ht="15.75" hidden="false" customHeight="true" outlineLevel="0" collapsed="false">
      <c r="A1072" s="12"/>
      <c r="B1072" s="12"/>
      <c r="C1072" s="12"/>
      <c r="D1072" s="12"/>
      <c r="E1072" s="12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</row>
    <row r="1073" customFormat="false" ht="15.75" hidden="false" customHeight="true" outlineLevel="0" collapsed="false">
      <c r="A1073" s="12"/>
      <c r="B1073" s="12"/>
      <c r="C1073" s="12"/>
      <c r="D1073" s="12"/>
      <c r="E1073" s="12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</row>
    <row r="1074" customFormat="false" ht="15.75" hidden="false" customHeight="true" outlineLevel="0" collapsed="false">
      <c r="A1074" s="12"/>
      <c r="B1074" s="12"/>
      <c r="C1074" s="12"/>
      <c r="D1074" s="12"/>
      <c r="E1074" s="12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</row>
    <row r="1075" customFormat="false" ht="15.75" hidden="false" customHeight="true" outlineLevel="0" collapsed="false">
      <c r="A1075" s="12"/>
      <c r="B1075" s="12"/>
      <c r="C1075" s="12"/>
      <c r="D1075" s="12"/>
      <c r="E1075" s="12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</row>
    <row r="1076" customFormat="false" ht="15.75" hidden="false" customHeight="true" outlineLevel="0" collapsed="false">
      <c r="A1076" s="12"/>
      <c r="B1076" s="12"/>
      <c r="C1076" s="12"/>
      <c r="D1076" s="12"/>
      <c r="E1076" s="12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</row>
    <row r="1077" customFormat="false" ht="15.75" hidden="false" customHeight="true" outlineLevel="0" collapsed="false">
      <c r="A1077" s="12"/>
      <c r="B1077" s="12"/>
      <c r="C1077" s="12"/>
      <c r="D1077" s="12"/>
      <c r="E1077" s="12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</row>
    <row r="1078" customFormat="false" ht="15.75" hidden="false" customHeight="true" outlineLevel="0" collapsed="false">
      <c r="A1078" s="12"/>
      <c r="B1078" s="12"/>
      <c r="C1078" s="12"/>
      <c r="D1078" s="12"/>
      <c r="E1078" s="12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</row>
    <row r="1079" customFormat="false" ht="15.75" hidden="false" customHeight="true" outlineLevel="0" collapsed="false">
      <c r="A1079" s="12"/>
      <c r="B1079" s="12"/>
      <c r="C1079" s="12"/>
      <c r="D1079" s="12"/>
      <c r="E1079" s="12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</row>
    <row r="1080" customFormat="false" ht="15.75" hidden="false" customHeight="true" outlineLevel="0" collapsed="false">
      <c r="A1080" s="12"/>
      <c r="B1080" s="12"/>
      <c r="C1080" s="12"/>
      <c r="D1080" s="12"/>
      <c r="E1080" s="12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</row>
    <row r="1081" customFormat="false" ht="15.75" hidden="false" customHeight="true" outlineLevel="0" collapsed="false">
      <c r="A1081" s="12"/>
      <c r="B1081" s="12"/>
      <c r="C1081" s="12"/>
      <c r="D1081" s="12"/>
      <c r="E1081" s="12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</row>
    <row r="1082" customFormat="false" ht="15.75" hidden="false" customHeight="true" outlineLevel="0" collapsed="false">
      <c r="A1082" s="12"/>
      <c r="B1082" s="12"/>
      <c r="C1082" s="12"/>
      <c r="D1082" s="12"/>
      <c r="E1082" s="12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</row>
    <row r="1083" customFormat="false" ht="15.75" hidden="false" customHeight="true" outlineLevel="0" collapsed="false">
      <c r="A1083" s="12"/>
      <c r="B1083" s="12"/>
      <c r="C1083" s="12"/>
      <c r="D1083" s="12"/>
      <c r="E1083" s="12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</row>
    <row r="1084" customFormat="false" ht="15.75" hidden="false" customHeight="true" outlineLevel="0" collapsed="false">
      <c r="A1084" s="12"/>
      <c r="B1084" s="12"/>
      <c r="C1084" s="12"/>
      <c r="D1084" s="12"/>
      <c r="E1084" s="12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</row>
    <row r="1085" customFormat="false" ht="15.75" hidden="false" customHeight="true" outlineLevel="0" collapsed="false">
      <c r="A1085" s="12"/>
      <c r="B1085" s="12"/>
      <c r="C1085" s="12"/>
      <c r="D1085" s="12"/>
      <c r="E1085" s="12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</row>
    <row r="1086" customFormat="false" ht="15.75" hidden="false" customHeight="true" outlineLevel="0" collapsed="false">
      <c r="A1086" s="12"/>
      <c r="B1086" s="12"/>
      <c r="C1086" s="12"/>
      <c r="D1086" s="12"/>
      <c r="E1086" s="12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</row>
    <row r="1087" customFormat="false" ht="15.75" hidden="false" customHeight="true" outlineLevel="0" collapsed="false">
      <c r="A1087" s="12"/>
      <c r="B1087" s="12"/>
      <c r="C1087" s="12"/>
      <c r="D1087" s="12"/>
      <c r="E1087" s="12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</row>
    <row r="1088" customFormat="false" ht="15.75" hidden="false" customHeight="true" outlineLevel="0" collapsed="false">
      <c r="A1088" s="12"/>
      <c r="B1088" s="12"/>
      <c r="C1088" s="12"/>
      <c r="D1088" s="12"/>
      <c r="E1088" s="12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</row>
    <row r="1089" customFormat="false" ht="15.75" hidden="false" customHeight="true" outlineLevel="0" collapsed="false">
      <c r="A1089" s="12"/>
      <c r="B1089" s="12"/>
      <c r="C1089" s="12"/>
      <c r="D1089" s="12"/>
      <c r="E1089" s="12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</row>
    <row r="1090" customFormat="false" ht="15.75" hidden="false" customHeight="true" outlineLevel="0" collapsed="false">
      <c r="A1090" s="12"/>
      <c r="B1090" s="12"/>
      <c r="C1090" s="12"/>
      <c r="D1090" s="12"/>
      <c r="E1090" s="12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</row>
    <row r="1091" customFormat="false" ht="15.75" hidden="false" customHeight="true" outlineLevel="0" collapsed="false">
      <c r="A1091" s="12"/>
      <c r="B1091" s="12"/>
      <c r="C1091" s="12"/>
      <c r="D1091" s="12"/>
      <c r="E1091" s="12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</row>
    <row r="1092" customFormat="false" ht="15.75" hidden="false" customHeight="true" outlineLevel="0" collapsed="false">
      <c r="A1092" s="12"/>
      <c r="B1092" s="12"/>
      <c r="C1092" s="12"/>
      <c r="D1092" s="12"/>
      <c r="E1092" s="12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</row>
    <row r="1093" customFormat="false" ht="15.75" hidden="false" customHeight="true" outlineLevel="0" collapsed="false">
      <c r="A1093" s="12"/>
      <c r="B1093" s="12"/>
      <c r="C1093" s="12"/>
      <c r="D1093" s="12"/>
      <c r="E1093" s="12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</row>
    <row r="1094" customFormat="false" ht="15.75" hidden="false" customHeight="true" outlineLevel="0" collapsed="false">
      <c r="A1094" s="12"/>
      <c r="B1094" s="12"/>
      <c r="C1094" s="12"/>
      <c r="D1094" s="12"/>
      <c r="E1094" s="12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</row>
    <row r="1095" customFormat="false" ht="15.75" hidden="false" customHeight="true" outlineLevel="0" collapsed="false">
      <c r="A1095" s="12"/>
      <c r="B1095" s="12"/>
      <c r="C1095" s="12"/>
      <c r="D1095" s="12"/>
      <c r="E1095" s="12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</row>
    <row r="1096" customFormat="false" ht="15.75" hidden="false" customHeight="true" outlineLevel="0" collapsed="false">
      <c r="A1096" s="12"/>
      <c r="B1096" s="12"/>
      <c r="C1096" s="12"/>
      <c r="D1096" s="12"/>
      <c r="E1096" s="12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</row>
    <row r="1097" customFormat="false" ht="15.75" hidden="false" customHeight="true" outlineLevel="0" collapsed="false">
      <c r="A1097" s="12"/>
      <c r="B1097" s="12"/>
      <c r="C1097" s="12"/>
      <c r="D1097" s="12"/>
      <c r="E1097" s="12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</row>
    <row r="1098" customFormat="false" ht="15.75" hidden="false" customHeight="true" outlineLevel="0" collapsed="false">
      <c r="A1098" s="12"/>
      <c r="B1098" s="12"/>
      <c r="C1098" s="12"/>
      <c r="D1098" s="12"/>
      <c r="E1098" s="12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</row>
    <row r="1099" customFormat="false" ht="15.75" hidden="false" customHeight="true" outlineLevel="0" collapsed="false">
      <c r="A1099" s="12"/>
      <c r="B1099" s="12"/>
      <c r="C1099" s="12"/>
      <c r="D1099" s="12"/>
      <c r="E1099" s="12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</row>
    <row r="1100" customFormat="false" ht="15.75" hidden="false" customHeight="true" outlineLevel="0" collapsed="false">
      <c r="A1100" s="12"/>
      <c r="B1100" s="12"/>
      <c r="C1100" s="12"/>
      <c r="D1100" s="12"/>
      <c r="E1100" s="12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</row>
    <row r="1101" customFormat="false" ht="15.75" hidden="false" customHeight="true" outlineLevel="0" collapsed="false">
      <c r="A1101" s="12"/>
      <c r="B1101" s="12"/>
      <c r="C1101" s="12"/>
      <c r="D1101" s="12"/>
      <c r="E1101" s="12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</row>
    <row r="1102" customFormat="false" ht="15.75" hidden="false" customHeight="true" outlineLevel="0" collapsed="false">
      <c r="A1102" s="12"/>
      <c r="B1102" s="12"/>
      <c r="C1102" s="12"/>
      <c r="D1102" s="12"/>
      <c r="E1102" s="12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</row>
    <row r="1103" customFormat="false" ht="15.75" hidden="false" customHeight="true" outlineLevel="0" collapsed="false">
      <c r="A1103" s="12"/>
      <c r="B1103" s="12"/>
      <c r="C1103" s="12"/>
      <c r="D1103" s="12"/>
      <c r="E1103" s="12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</row>
    <row r="1104" customFormat="false" ht="15.75" hidden="false" customHeight="true" outlineLevel="0" collapsed="false">
      <c r="A1104" s="12"/>
      <c r="B1104" s="12"/>
      <c r="C1104" s="12"/>
      <c r="D1104" s="12"/>
      <c r="E1104" s="12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</row>
    <row r="1105" customFormat="false" ht="15.75" hidden="false" customHeight="true" outlineLevel="0" collapsed="false">
      <c r="A1105" s="12"/>
      <c r="B1105" s="12"/>
      <c r="C1105" s="12"/>
      <c r="D1105" s="12"/>
      <c r="E1105" s="12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</row>
    <row r="1106" customFormat="false" ht="15.75" hidden="false" customHeight="true" outlineLevel="0" collapsed="false">
      <c r="A1106" s="12"/>
      <c r="B1106" s="12"/>
      <c r="C1106" s="12"/>
      <c r="D1106" s="12"/>
      <c r="E1106" s="12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</row>
    <row r="1107" customFormat="false" ht="15.75" hidden="false" customHeight="true" outlineLevel="0" collapsed="false">
      <c r="A1107" s="12"/>
      <c r="B1107" s="12"/>
      <c r="C1107" s="12"/>
      <c r="D1107" s="12"/>
      <c r="E1107" s="12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</row>
    <row r="1108" customFormat="false" ht="15.75" hidden="false" customHeight="true" outlineLevel="0" collapsed="false">
      <c r="A1108" s="12"/>
      <c r="B1108" s="12"/>
      <c r="C1108" s="12"/>
      <c r="D1108" s="12"/>
      <c r="E1108" s="12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</row>
    <row r="1109" customFormat="false" ht="15.75" hidden="false" customHeight="true" outlineLevel="0" collapsed="false">
      <c r="A1109" s="12"/>
      <c r="B1109" s="12"/>
      <c r="C1109" s="12"/>
      <c r="D1109" s="12"/>
      <c r="E1109" s="12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</row>
    <row r="1110" customFormat="false" ht="15.75" hidden="false" customHeight="true" outlineLevel="0" collapsed="false">
      <c r="A1110" s="12"/>
      <c r="B1110" s="12"/>
      <c r="C1110" s="12"/>
      <c r="D1110" s="12"/>
      <c r="E1110" s="12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</row>
    <row r="1111" customFormat="false" ht="15.75" hidden="false" customHeight="true" outlineLevel="0" collapsed="false">
      <c r="A1111" s="12"/>
      <c r="B1111" s="12"/>
      <c r="C1111" s="12"/>
      <c r="D1111" s="12"/>
      <c r="E1111" s="12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</row>
    <row r="1112" customFormat="false" ht="15.75" hidden="false" customHeight="true" outlineLevel="0" collapsed="false">
      <c r="A1112" s="12"/>
      <c r="B1112" s="12"/>
      <c r="C1112" s="12"/>
      <c r="D1112" s="12"/>
      <c r="E1112" s="12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</row>
    <row r="1113" customFormat="false" ht="15.75" hidden="false" customHeight="true" outlineLevel="0" collapsed="false">
      <c r="A1113" s="12"/>
      <c r="B1113" s="12"/>
      <c r="C1113" s="12"/>
      <c r="D1113" s="12"/>
      <c r="E1113" s="12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</row>
    <row r="1114" customFormat="false" ht="15.75" hidden="false" customHeight="true" outlineLevel="0" collapsed="false">
      <c r="A1114" s="12"/>
      <c r="B1114" s="12"/>
      <c r="C1114" s="12"/>
      <c r="D1114" s="12"/>
      <c r="E1114" s="12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</row>
    <row r="1115" customFormat="false" ht="15.75" hidden="false" customHeight="true" outlineLevel="0" collapsed="false">
      <c r="A1115" s="12"/>
      <c r="B1115" s="12"/>
      <c r="C1115" s="12"/>
      <c r="D1115" s="12"/>
      <c r="E1115" s="12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</row>
    <row r="1116" customFormat="false" ht="15.75" hidden="false" customHeight="true" outlineLevel="0" collapsed="false">
      <c r="A1116" s="12"/>
      <c r="B1116" s="12"/>
      <c r="C1116" s="12"/>
      <c r="D1116" s="12"/>
      <c r="E1116" s="12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</row>
    <row r="1117" customFormat="false" ht="15.75" hidden="false" customHeight="true" outlineLevel="0" collapsed="false">
      <c r="A1117" s="12"/>
      <c r="B1117" s="12"/>
      <c r="C1117" s="12"/>
      <c r="D1117" s="12"/>
      <c r="E1117" s="12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</row>
    <row r="1118" customFormat="false" ht="15.75" hidden="false" customHeight="true" outlineLevel="0" collapsed="false">
      <c r="A1118" s="12"/>
      <c r="B1118" s="12"/>
      <c r="C1118" s="12"/>
      <c r="D1118" s="12"/>
      <c r="E1118" s="12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</row>
    <row r="1119" customFormat="false" ht="15.75" hidden="false" customHeight="true" outlineLevel="0" collapsed="false">
      <c r="A1119" s="12"/>
      <c r="B1119" s="12"/>
      <c r="C1119" s="12"/>
      <c r="D1119" s="12"/>
      <c r="E1119" s="12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</row>
    <row r="1120" customFormat="false" ht="15.75" hidden="false" customHeight="true" outlineLevel="0" collapsed="false">
      <c r="A1120" s="12"/>
      <c r="B1120" s="12"/>
      <c r="C1120" s="12"/>
      <c r="D1120" s="12"/>
      <c r="E1120" s="12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</row>
    <row r="1121" customFormat="false" ht="15.75" hidden="false" customHeight="true" outlineLevel="0" collapsed="false">
      <c r="A1121" s="12"/>
      <c r="B1121" s="12"/>
      <c r="C1121" s="12"/>
      <c r="D1121" s="12"/>
      <c r="E1121" s="12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</row>
    <row r="1122" customFormat="false" ht="15.75" hidden="false" customHeight="true" outlineLevel="0" collapsed="false">
      <c r="A1122" s="12"/>
      <c r="B1122" s="12"/>
      <c r="C1122" s="12"/>
      <c r="D1122" s="12"/>
      <c r="E1122" s="12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</row>
    <row r="1123" customFormat="false" ht="15.75" hidden="false" customHeight="true" outlineLevel="0" collapsed="false">
      <c r="A1123" s="12"/>
      <c r="B1123" s="12"/>
      <c r="C1123" s="12"/>
      <c r="D1123" s="12"/>
      <c r="E1123" s="12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</row>
    <row r="1124" customFormat="false" ht="15.75" hidden="false" customHeight="true" outlineLevel="0" collapsed="false">
      <c r="A1124" s="12"/>
      <c r="B1124" s="12"/>
      <c r="C1124" s="12"/>
      <c r="D1124" s="12"/>
      <c r="E1124" s="12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</row>
    <row r="1125" customFormat="false" ht="15.75" hidden="false" customHeight="true" outlineLevel="0" collapsed="false">
      <c r="A1125" s="12"/>
      <c r="B1125" s="12"/>
      <c r="C1125" s="12"/>
      <c r="D1125" s="12"/>
      <c r="E1125" s="12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</row>
    <row r="1126" customFormat="false" ht="15.75" hidden="false" customHeight="true" outlineLevel="0" collapsed="false">
      <c r="A1126" s="12"/>
      <c r="B1126" s="12"/>
      <c r="C1126" s="12"/>
      <c r="D1126" s="12"/>
      <c r="E1126" s="12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</row>
    <row r="1127" customFormat="false" ht="15.75" hidden="false" customHeight="true" outlineLevel="0" collapsed="false">
      <c r="A1127" s="12"/>
      <c r="B1127" s="12"/>
      <c r="C1127" s="12"/>
      <c r="D1127" s="12"/>
      <c r="E1127" s="12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</row>
  </sheetData>
  <mergeCells count="45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5"/>
  <sheetViews>
    <sheetView showFormulas="false" showGridLines="true" showRowColHeaders="true" showZeros="true" rightToLeft="false" tabSelected="false" showOutlineSymbols="true" defaultGridColor="true" view="normal" topLeftCell="K76" colorId="64" zoomScale="60" zoomScaleNormal="60" zoomScalePageLayoutView="100" workbookViewId="0">
      <selection pane="topLeft" activeCell="B112" activeCellId="0" sqref="B112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10.35"/>
    <col collapsed="false" customWidth="true" hidden="false" outlineLevel="0" max="2" min="2" style="0" width="20.18"/>
    <col collapsed="false" customWidth="true" hidden="false" outlineLevel="0" max="3" min="3" style="0" width="31.21"/>
    <col collapsed="false" customWidth="true" hidden="false" outlineLevel="0" max="4" min="4" style="0" width="119.86"/>
    <col collapsed="false" customWidth="true" hidden="false" outlineLevel="0" max="5" min="5" style="0" width="27.17"/>
    <col collapsed="false" customWidth="true" hidden="false" outlineLevel="0" max="6" min="6" style="0" width="6.19"/>
    <col collapsed="false" customWidth="true" hidden="false" outlineLevel="0" max="7" min="7" style="0" width="129.14"/>
    <col collapsed="false" customWidth="true" hidden="false" outlineLevel="0" max="8" min="8" style="0" width="20.32"/>
    <col collapsed="false" customWidth="true" hidden="false" outlineLevel="0" max="9" min="9" style="0" width="22.87"/>
    <col collapsed="false" customWidth="true" hidden="false" outlineLevel="0" max="10" min="10" style="0" width="247.79"/>
    <col collapsed="false" customWidth="true" hidden="false" outlineLevel="0" max="11" min="11" style="0" width="12.11"/>
    <col collapsed="false" customWidth="true" hidden="false" outlineLevel="0" max="12" min="12" style="0" width="13.04"/>
    <col collapsed="false" customWidth="true" hidden="false" outlineLevel="0" max="13" min="13" style="0" width="17.08"/>
    <col collapsed="false" customWidth="true" hidden="false" outlineLevel="0" max="14" min="14" style="0" width="12.91"/>
    <col collapsed="false" customWidth="true" hidden="false" outlineLevel="0" max="16" min="16" style="0" width="12.91"/>
  </cols>
  <sheetData>
    <row r="1" customFormat="false" ht="15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 customFormat="false" ht="15" hidden="false" customHeight="false" outlineLevel="0" collapsed="false">
      <c r="A2" s="14" t="s">
        <v>3</v>
      </c>
      <c r="B2" s="15" t="s">
        <v>6</v>
      </c>
      <c r="C2" s="15" t="s">
        <v>7</v>
      </c>
      <c r="D2" s="16" t="s">
        <v>8</v>
      </c>
      <c r="E2" s="17" t="s">
        <v>9</v>
      </c>
      <c r="F2" s="18" t="s">
        <v>10</v>
      </c>
      <c r="G2" s="19" t="s">
        <v>11</v>
      </c>
      <c r="H2" s="18" t="s">
        <v>12</v>
      </c>
      <c r="I2" s="18" t="s">
        <v>13</v>
      </c>
      <c r="J2" s="20" t="s">
        <v>14</v>
      </c>
      <c r="K2" s="21" t="s">
        <v>15</v>
      </c>
      <c r="L2" s="21" t="s">
        <v>16</v>
      </c>
      <c r="M2" s="21" t="s">
        <v>17</v>
      </c>
    </row>
    <row r="3" customFormat="false" ht="15" hidden="false" customHeight="false" outlineLevel="0" collapsed="false">
      <c r="A3" s="22"/>
      <c r="B3" s="23" t="s">
        <v>167</v>
      </c>
      <c r="C3" s="24" t="s">
        <v>168</v>
      </c>
      <c r="D3" s="25" t="s">
        <v>169</v>
      </c>
      <c r="E3" s="26" t="s">
        <v>170</v>
      </c>
      <c r="F3" s="26" t="e">
        <f aca="false">#N/A</f>
        <v>#N/A</v>
      </c>
      <c r="G3" s="26" t="s">
        <v>171</v>
      </c>
      <c r="H3" s="26" t="s">
        <v>172</v>
      </c>
      <c r="I3" s="26" t="s">
        <v>173</v>
      </c>
      <c r="J3" s="27" t="s">
        <v>174</v>
      </c>
      <c r="K3" s="26"/>
      <c r="L3" s="28"/>
      <c r="M3" s="28" t="s">
        <v>175</v>
      </c>
    </row>
    <row r="4" customFormat="false" ht="15" hidden="false" customHeight="false" outlineLevel="0" collapsed="false">
      <c r="A4" s="22"/>
      <c r="B4" s="10" t="s">
        <v>20</v>
      </c>
      <c r="C4" s="10" t="s">
        <v>21</v>
      </c>
      <c r="D4" s="10" t="s">
        <v>22</v>
      </c>
      <c r="E4" s="29" t="s">
        <v>176</v>
      </c>
      <c r="F4" s="10" t="s">
        <v>177</v>
      </c>
      <c r="G4" s="29" t="s">
        <v>178</v>
      </c>
      <c r="H4" s="29" t="s">
        <v>179</v>
      </c>
      <c r="I4" s="29" t="s">
        <v>173</v>
      </c>
      <c r="J4" s="30" t="s">
        <v>180</v>
      </c>
      <c r="K4" s="31" t="s">
        <v>181</v>
      </c>
      <c r="L4" s="10"/>
      <c r="M4" s="10" t="s">
        <v>182</v>
      </c>
    </row>
    <row r="5" customFormat="false" ht="15" hidden="false" customHeight="false" outlineLevel="0" collapsed="false">
      <c r="A5" s="22"/>
      <c r="B5" s="15" t="s">
        <v>183</v>
      </c>
      <c r="C5" s="32" t="str">
        <f aca="false">IFERROR(__xludf.dummyfunction("""COMPUTED_VALUE"""),"SITI ROKHANAH")</f>
        <v>SITI ROKHANAH</v>
      </c>
      <c r="D5" s="16" t="str">
        <f aca="false">IFERROR(__xludf.dummyfunction("""COMPUTED_VALUE"""),"Konsumen Lunas M +3")</f>
        <v>Konsumen Lunas M +3</v>
      </c>
      <c r="E5" s="33" t="s">
        <v>184</v>
      </c>
      <c r="F5" s="33" t="s">
        <v>185</v>
      </c>
      <c r="G5" s="18" t="s">
        <v>186</v>
      </c>
      <c r="H5" s="18" t="s">
        <v>187</v>
      </c>
      <c r="I5" s="18" t="s">
        <v>188</v>
      </c>
      <c r="J5" s="18" t="s">
        <v>189</v>
      </c>
      <c r="K5" s="18" t="s">
        <v>190</v>
      </c>
      <c r="L5" s="21" t="e">
        <f aca="false">VLOOKUP(B5,#REF!,5,0)</f>
        <v>#VALUE!</v>
      </c>
      <c r="M5" s="34" t="s">
        <v>191</v>
      </c>
    </row>
    <row r="6" customFormat="false" ht="15" hidden="false" customHeight="false" outlineLevel="0" collapsed="false">
      <c r="A6" s="35"/>
      <c r="B6" s="10" t="s">
        <v>192</v>
      </c>
      <c r="C6" s="36" t="s">
        <v>193</v>
      </c>
      <c r="D6" s="10" t="s">
        <v>169</v>
      </c>
      <c r="E6" s="29" t="s">
        <v>194</v>
      </c>
      <c r="F6" s="37" t="s">
        <v>177</v>
      </c>
      <c r="G6" s="29" t="s">
        <v>195</v>
      </c>
      <c r="H6" s="29" t="s">
        <v>179</v>
      </c>
      <c r="I6" s="29" t="s">
        <v>173</v>
      </c>
      <c r="J6" s="10" t="s">
        <v>196</v>
      </c>
      <c r="K6" s="10" t="s">
        <v>181</v>
      </c>
      <c r="L6" s="10"/>
      <c r="M6" s="38" t="n">
        <v>82328686909</v>
      </c>
    </row>
    <row r="7" customFormat="false" ht="15" hidden="false" customHeight="false" outlineLevel="0" collapsed="false">
      <c r="A7" s="22"/>
      <c r="B7" s="39" t="s">
        <v>197</v>
      </c>
      <c r="C7" s="40" t="s">
        <v>198</v>
      </c>
      <c r="D7" s="40" t="s">
        <v>22</v>
      </c>
      <c r="E7" s="41" t="s">
        <v>199</v>
      </c>
      <c r="F7" s="33" t="s">
        <v>177</v>
      </c>
      <c r="G7" s="19" t="s">
        <v>200</v>
      </c>
      <c r="H7" s="18" t="s">
        <v>201</v>
      </c>
      <c r="I7" s="21" t="s">
        <v>173</v>
      </c>
      <c r="J7" s="20" t="s">
        <v>202</v>
      </c>
      <c r="K7" s="21" t="s">
        <v>181</v>
      </c>
      <c r="L7" s="21" t="e">
        <f aca="false">VLOOKUP(B8,#REF!,5,0)</f>
        <v>#VALUE!</v>
      </c>
      <c r="M7" s="34" t="n">
        <v>85226651885</v>
      </c>
    </row>
    <row r="8" customFormat="false" ht="15" hidden="false" customHeight="false" outlineLevel="0" collapsed="false">
      <c r="A8" s="42" t="s">
        <v>18</v>
      </c>
      <c r="B8" s="39" t="s">
        <v>203</v>
      </c>
      <c r="C8" s="40" t="s">
        <v>204</v>
      </c>
      <c r="D8" s="40" t="s">
        <v>152</v>
      </c>
      <c r="E8" s="10" t="s">
        <v>205</v>
      </c>
      <c r="F8" s="10"/>
      <c r="G8" s="10" t="s">
        <v>206</v>
      </c>
      <c r="H8" s="10" t="s">
        <v>201</v>
      </c>
      <c r="I8" s="10" t="s">
        <v>172</v>
      </c>
      <c r="J8" s="10" t="s">
        <v>207</v>
      </c>
      <c r="K8" s="10"/>
      <c r="L8" s="43" t="s">
        <v>208</v>
      </c>
      <c r="M8" s="10" t="s">
        <v>209</v>
      </c>
    </row>
    <row r="9" customFormat="false" ht="15" hidden="false" customHeight="false" outlineLevel="0" collapsed="false">
      <c r="A9" s="22"/>
      <c r="B9" s="10" t="s">
        <v>210</v>
      </c>
      <c r="C9" s="10" t="s">
        <v>211</v>
      </c>
      <c r="D9" s="10" t="s">
        <v>169</v>
      </c>
      <c r="E9" s="10" t="s">
        <v>212</v>
      </c>
      <c r="F9" s="10" t="s">
        <v>185</v>
      </c>
      <c r="G9" s="10" t="s">
        <v>213</v>
      </c>
      <c r="H9" s="10" t="s">
        <v>214</v>
      </c>
      <c r="I9" s="10" t="s">
        <v>215</v>
      </c>
      <c r="J9" s="44" t="s">
        <v>216</v>
      </c>
      <c r="K9" s="10" t="s">
        <v>181</v>
      </c>
      <c r="L9" s="10"/>
      <c r="M9" s="10" t="s">
        <v>217</v>
      </c>
    </row>
    <row r="10" customFormat="false" ht="15" hidden="false" customHeight="false" outlineLevel="0" collapsed="false">
      <c r="A10" s="22"/>
      <c r="B10" s="10" t="s">
        <v>25</v>
      </c>
      <c r="C10" s="10" t="s">
        <v>26</v>
      </c>
      <c r="D10" s="10" t="s">
        <v>22</v>
      </c>
      <c r="E10" s="29" t="s">
        <v>218</v>
      </c>
      <c r="F10" s="10" t="s">
        <v>177</v>
      </c>
      <c r="G10" s="10" t="s">
        <v>219</v>
      </c>
      <c r="H10" s="36" t="s">
        <v>220</v>
      </c>
      <c r="I10" s="36" t="s">
        <v>221</v>
      </c>
      <c r="J10" s="44" t="s">
        <v>222</v>
      </c>
      <c r="K10" s="10" t="s">
        <v>181</v>
      </c>
      <c r="L10" s="10"/>
      <c r="M10" s="10" t="n">
        <v>895417316985</v>
      </c>
    </row>
    <row r="11" customFormat="false" ht="15" hidden="false" customHeight="false" outlineLevel="0" collapsed="false">
      <c r="A11" s="22"/>
      <c r="B11" s="10" t="s">
        <v>223</v>
      </c>
      <c r="C11" s="10" t="s">
        <v>224</v>
      </c>
      <c r="D11" s="10" t="s">
        <v>22</v>
      </c>
      <c r="E11" s="29" t="s">
        <v>225</v>
      </c>
      <c r="F11" s="10" t="s">
        <v>177</v>
      </c>
      <c r="G11" s="29" t="s">
        <v>226</v>
      </c>
      <c r="H11" s="29" t="s">
        <v>227</v>
      </c>
      <c r="I11" s="29" t="s">
        <v>228</v>
      </c>
      <c r="J11" s="45" t="s">
        <v>229</v>
      </c>
      <c r="K11" s="29" t="s">
        <v>190</v>
      </c>
      <c r="L11" s="10"/>
      <c r="M11" s="29" t="s">
        <v>230</v>
      </c>
    </row>
    <row r="12" customFormat="false" ht="15" hidden="false" customHeight="false" outlineLevel="0" collapsed="false">
      <c r="A12" s="22"/>
      <c r="B12" s="10" t="s">
        <v>27</v>
      </c>
      <c r="C12" s="10" t="s">
        <v>28</v>
      </c>
      <c r="D12" s="10" t="s">
        <v>22</v>
      </c>
      <c r="E12" s="29" t="s">
        <v>231</v>
      </c>
      <c r="F12" s="10" t="s">
        <v>185</v>
      </c>
      <c r="G12" s="29" t="s">
        <v>232</v>
      </c>
      <c r="H12" s="29" t="s">
        <v>233</v>
      </c>
      <c r="I12" s="29" t="s">
        <v>234</v>
      </c>
      <c r="J12" s="36" t="s">
        <v>180</v>
      </c>
      <c r="K12" s="29" t="s">
        <v>190</v>
      </c>
      <c r="L12" s="10"/>
      <c r="M12" s="36" t="s">
        <v>180</v>
      </c>
    </row>
    <row r="13" customFormat="false" ht="15" hidden="false" customHeight="false" outlineLevel="0" collapsed="false">
      <c r="A13" s="22"/>
      <c r="B13" s="46" t="s">
        <v>235</v>
      </c>
      <c r="C13" s="24" t="s">
        <v>168</v>
      </c>
      <c r="D13" s="26" t="s">
        <v>236</v>
      </c>
      <c r="E13" s="26" t="s">
        <v>237</v>
      </c>
      <c r="F13" s="26" t="e">
        <f aca="false">#N/A</f>
        <v>#N/A</v>
      </c>
      <c r="G13" s="26" t="s">
        <v>238</v>
      </c>
      <c r="H13" s="26" t="s">
        <v>239</v>
      </c>
      <c r="I13" s="26" t="s">
        <v>240</v>
      </c>
      <c r="J13" s="47" t="s">
        <v>241</v>
      </c>
      <c r="K13" s="26"/>
      <c r="L13" s="26"/>
      <c r="M13" s="26" t="s">
        <v>242</v>
      </c>
    </row>
    <row r="14" customFormat="false" ht="15" hidden="false" customHeight="false" outlineLevel="0" collapsed="false">
      <c r="A14" s="22"/>
      <c r="B14" s="23" t="s">
        <v>243</v>
      </c>
      <c r="C14" s="24" t="s">
        <v>168</v>
      </c>
      <c r="D14" s="25" t="s">
        <v>169</v>
      </c>
      <c r="E14" s="26" t="s">
        <v>244</v>
      </c>
      <c r="F14" s="26" t="s">
        <v>185</v>
      </c>
      <c r="G14" s="26" t="s">
        <v>245</v>
      </c>
      <c r="H14" s="26" t="s">
        <v>246</v>
      </c>
      <c r="I14" s="26" t="s">
        <v>19</v>
      </c>
      <c r="J14" s="26" t="e">
        <f aca="false">#N/A</f>
        <v>#N/A</v>
      </c>
      <c r="K14" s="26"/>
      <c r="L14" s="26"/>
      <c r="M14" s="26" t="s">
        <v>247</v>
      </c>
    </row>
    <row r="15" customFormat="false" ht="15" hidden="false" customHeight="false" outlineLevel="0" collapsed="false">
      <c r="A15" s="22"/>
      <c r="B15" s="23" t="s">
        <v>248</v>
      </c>
      <c r="C15" s="24" t="s">
        <v>168</v>
      </c>
      <c r="D15" s="25" t="s">
        <v>169</v>
      </c>
      <c r="E15" s="26" t="s">
        <v>249</v>
      </c>
      <c r="F15" s="26" t="s">
        <v>250</v>
      </c>
      <c r="G15" s="26" t="s">
        <v>251</v>
      </c>
      <c r="H15" s="26" t="s">
        <v>252</v>
      </c>
      <c r="I15" s="26" t="s">
        <v>253</v>
      </c>
      <c r="J15" s="26" t="s">
        <v>254</v>
      </c>
      <c r="K15" s="26"/>
      <c r="L15" s="26"/>
      <c r="M15" s="26" t="s">
        <v>255</v>
      </c>
    </row>
    <row r="16" customFormat="false" ht="15" hidden="false" customHeight="false" outlineLevel="0" collapsed="false">
      <c r="A16" s="22"/>
      <c r="B16" s="15" t="s">
        <v>256</v>
      </c>
      <c r="C16" s="32" t="str">
        <f aca="false">IFERROR(__xludf.dummyfunction("""COMPUTED_VALUE"""),"Evan Wahyu Nugroho")</f>
        <v>Evan Wahyu Nugroho</v>
      </c>
      <c r="D16" s="16" t="str">
        <f aca="false">IFERROR(__xludf.dummyfunction("""COMPUTED_VALUE"""),"Konsumen Lunas M +3")</f>
        <v>Konsumen Lunas M +3</v>
      </c>
      <c r="E16" s="18" t="s">
        <v>257</v>
      </c>
      <c r="F16" s="18" t="s">
        <v>185</v>
      </c>
      <c r="G16" s="18" t="s">
        <v>258</v>
      </c>
      <c r="H16" s="18" t="s">
        <v>259</v>
      </c>
      <c r="I16" s="18" t="s">
        <v>260</v>
      </c>
      <c r="J16" s="18" t="s">
        <v>261</v>
      </c>
      <c r="K16" s="18" t="n">
        <v>0</v>
      </c>
      <c r="L16" s="21" t="e">
        <f aca="false">VLOOKUP(B17,#REF!,5,0)</f>
        <v>#VALUE!</v>
      </c>
      <c r="M16" s="21" t="s">
        <v>262</v>
      </c>
    </row>
    <row r="17" customFormat="false" ht="15" hidden="false" customHeight="false" outlineLevel="0" collapsed="false">
      <c r="A17" s="22"/>
      <c r="B17" s="46" t="s">
        <v>263</v>
      </c>
      <c r="C17" s="24" t="s">
        <v>168</v>
      </c>
      <c r="D17" s="46" t="s">
        <v>264</v>
      </c>
      <c r="E17" s="26" t="s">
        <v>265</v>
      </c>
      <c r="F17" s="26"/>
      <c r="G17" s="26" t="s">
        <v>266</v>
      </c>
      <c r="H17" s="26" t="s">
        <v>267</v>
      </c>
      <c r="I17" s="26" t="s">
        <v>268</v>
      </c>
      <c r="J17" s="48" t="s">
        <v>269</v>
      </c>
      <c r="K17" s="26"/>
      <c r="L17" s="28"/>
      <c r="M17" s="28"/>
    </row>
    <row r="18" customFormat="false" ht="15" hidden="false" customHeight="false" outlineLevel="0" collapsed="false">
      <c r="A18" s="22"/>
      <c r="B18" s="15" t="s">
        <v>270</v>
      </c>
      <c r="C18" s="15" t="str">
        <f aca="false">IFERROR(__xludf.dummyfunction("""COMPUTED_VALUE"""),"Much Imron mashadi")</f>
        <v>Much Imron mashadi</v>
      </c>
      <c r="D18" s="16" t="str">
        <f aca="false">IFERROR(__xludf.dummyfunction("""COMPUTED_VALUE"""),"Konsumen Lunas M +3")</f>
        <v>Konsumen Lunas M +3</v>
      </c>
      <c r="E18" s="18" t="s">
        <v>271</v>
      </c>
      <c r="F18" s="18" t="s">
        <v>185</v>
      </c>
      <c r="G18" s="18" t="s">
        <v>272</v>
      </c>
      <c r="H18" s="18" t="s">
        <v>273</v>
      </c>
      <c r="I18" s="18" t="s">
        <v>274</v>
      </c>
      <c r="J18" s="18" t="s">
        <v>275</v>
      </c>
      <c r="K18" s="18" t="n">
        <v>0</v>
      </c>
      <c r="L18" s="21" t="e">
        <f aca="false">VLOOKUP(B19,#REF!,5,0)</f>
        <v>#VALUE!</v>
      </c>
      <c r="M18" s="21" t="s">
        <v>276</v>
      </c>
    </row>
    <row r="19" customFormat="false" ht="15" hidden="false" customHeight="false" outlineLevel="0" collapsed="false">
      <c r="A19" s="22"/>
      <c r="B19" s="49" t="s">
        <v>277</v>
      </c>
      <c r="C19" s="50" t="s">
        <v>168</v>
      </c>
      <c r="D19" s="49" t="s">
        <v>236</v>
      </c>
      <c r="E19" s="51" t="s">
        <v>278</v>
      </c>
      <c r="F19" s="51" t="e">
        <f aca="false">#N/A</f>
        <v>#N/A</v>
      </c>
      <c r="G19" s="52" t="s">
        <v>279</v>
      </c>
      <c r="H19" s="52" t="s">
        <v>280</v>
      </c>
      <c r="I19" s="52" t="s">
        <v>281</v>
      </c>
      <c r="J19" s="53" t="s">
        <v>282</v>
      </c>
      <c r="K19" s="52"/>
      <c r="L19" s="52"/>
      <c r="M19" s="51" t="s">
        <v>283</v>
      </c>
    </row>
    <row r="20" customFormat="false" ht="15" hidden="false" customHeight="false" outlineLevel="0" collapsed="false">
      <c r="A20" s="54"/>
      <c r="B20" s="55" t="s">
        <v>284</v>
      </c>
      <c r="C20" s="24" t="s">
        <v>168</v>
      </c>
      <c r="D20" s="56" t="s">
        <v>22</v>
      </c>
      <c r="E20" s="26" t="s">
        <v>285</v>
      </c>
      <c r="F20" s="26" t="s">
        <v>250</v>
      </c>
      <c r="G20" s="26" t="s">
        <v>286</v>
      </c>
      <c r="H20" s="26" t="s">
        <v>287</v>
      </c>
      <c r="I20" s="26" t="s">
        <v>288</v>
      </c>
      <c r="J20" s="26" t="n">
        <v>0</v>
      </c>
      <c r="K20" s="26"/>
      <c r="L20" s="26"/>
      <c r="M20" s="26" t="s">
        <v>289</v>
      </c>
    </row>
    <row r="21" customFormat="false" ht="15" hidden="false" customHeight="false" outlineLevel="0" collapsed="false">
      <c r="A21" s="22"/>
      <c r="B21" s="10" t="s">
        <v>290</v>
      </c>
      <c r="C21" s="10" t="s">
        <v>291</v>
      </c>
      <c r="D21" s="18" t="s">
        <v>292</v>
      </c>
      <c r="E21" s="19" t="s">
        <v>293</v>
      </c>
      <c r="F21" s="18" t="s">
        <v>185</v>
      </c>
      <c r="G21" s="19" t="s">
        <v>294</v>
      </c>
      <c r="H21" s="18" t="s">
        <v>295</v>
      </c>
      <c r="I21" s="18" t="s">
        <v>296</v>
      </c>
      <c r="J21" s="47" t="s">
        <v>297</v>
      </c>
      <c r="K21" s="18" t="s">
        <v>298</v>
      </c>
      <c r="L21" s="21" t="e">
        <f aca="false">VLOOKUP(B22,#REF!,5,0)</f>
        <v>#VALUE!</v>
      </c>
      <c r="M21" s="21" t="s">
        <v>299</v>
      </c>
    </row>
    <row r="22" customFormat="false" ht="15" hidden="false" customHeight="false" outlineLevel="0" collapsed="false">
      <c r="A22" s="22"/>
      <c r="B22" s="57" t="s">
        <v>300</v>
      </c>
      <c r="C22" s="57" t="s">
        <v>301</v>
      </c>
      <c r="D22" s="57" t="s">
        <v>302</v>
      </c>
      <c r="E22" s="37" t="s">
        <v>303</v>
      </c>
      <c r="F22" s="37" t="s">
        <v>177</v>
      </c>
      <c r="G22" s="10" t="s">
        <v>304</v>
      </c>
      <c r="H22" s="36" t="s">
        <v>305</v>
      </c>
      <c r="I22" s="36" t="s">
        <v>306</v>
      </c>
      <c r="J22" s="44" t="s">
        <v>307</v>
      </c>
      <c r="K22" s="36" t="s">
        <v>181</v>
      </c>
      <c r="L22" s="10"/>
      <c r="M22" s="58" t="s">
        <v>180</v>
      </c>
    </row>
    <row r="23" customFormat="false" ht="15" hidden="false" customHeight="false" outlineLevel="0" collapsed="false">
      <c r="A23" s="59"/>
      <c r="B23" s="39" t="s">
        <v>308</v>
      </c>
      <c r="C23" s="40" t="str">
        <f aca="false">IFERROR(__xludf.dummyfunction("""COMPUTED_VALUE"""),"SOIM")</f>
        <v>SOIM</v>
      </c>
      <c r="D23" s="40" t="str">
        <f aca="false">IFERROR(__xludf.dummyfunction("""COMPUTED_VALUE"""),"Konsumen Aktif M 0 - 6 Lunas")</f>
        <v>Konsumen Aktif M 0 - 6 Lunas</v>
      </c>
      <c r="E23" s="18" t="s">
        <v>309</v>
      </c>
      <c r="F23" s="18" t="s">
        <v>177</v>
      </c>
      <c r="G23" s="18" t="s">
        <v>310</v>
      </c>
      <c r="H23" s="18" t="s">
        <v>311</v>
      </c>
      <c r="I23" s="18" t="s">
        <v>312</v>
      </c>
      <c r="J23" s="18" t="s">
        <v>313</v>
      </c>
      <c r="K23" s="18" t="n">
        <v>0</v>
      </c>
      <c r="L23" s="21" t="e">
        <f aca="false">VLOOKUP(B24,#REF!,5,0)</f>
        <v>#VALUE!</v>
      </c>
      <c r="M23" s="21" t="s">
        <v>314</v>
      </c>
    </row>
    <row r="24" customFormat="false" ht="15" hidden="false" customHeight="false" outlineLevel="0" collapsed="false">
      <c r="A24" s="35"/>
      <c r="B24" s="60" t="s">
        <v>315</v>
      </c>
      <c r="C24" s="60" t="s">
        <v>316</v>
      </c>
      <c r="D24" s="60" t="s">
        <v>317</v>
      </c>
      <c r="E24" s="41" t="s">
        <v>318</v>
      </c>
      <c r="F24" s="37" t="s">
        <v>177</v>
      </c>
      <c r="G24" s="19" t="s">
        <v>319</v>
      </c>
      <c r="H24" s="10" t="s">
        <v>320</v>
      </c>
      <c r="I24" s="10" t="s">
        <v>320</v>
      </c>
      <c r="J24" s="61" t="s">
        <v>321</v>
      </c>
      <c r="K24" s="10" t="s">
        <v>190</v>
      </c>
      <c r="L24" s="43" t="s">
        <v>208</v>
      </c>
      <c r="M24" s="10" t="s">
        <v>322</v>
      </c>
    </row>
    <row r="25" customFormat="false" ht="15" hidden="false" customHeight="false" outlineLevel="0" collapsed="false">
      <c r="A25" s="22"/>
      <c r="B25" s="57" t="s">
        <v>159</v>
      </c>
      <c r="C25" s="57" t="s">
        <v>160</v>
      </c>
      <c r="D25" s="57" t="s">
        <v>302</v>
      </c>
      <c r="E25" s="12" t="s">
        <v>323</v>
      </c>
      <c r="F25" s="37" t="s">
        <v>177</v>
      </c>
      <c r="G25" s="10" t="s">
        <v>324</v>
      </c>
      <c r="H25" s="36" t="s">
        <v>325</v>
      </c>
      <c r="I25" s="36" t="s">
        <v>325</v>
      </c>
      <c r="J25" s="44" t="s">
        <v>326</v>
      </c>
      <c r="K25" s="36" t="s">
        <v>190</v>
      </c>
      <c r="L25" s="10"/>
      <c r="M25" s="37" t="n">
        <v>88980888140</v>
      </c>
    </row>
    <row r="26" customFormat="false" ht="15" hidden="false" customHeight="false" outlineLevel="0" collapsed="false">
      <c r="A26" s="22"/>
      <c r="B26" s="62" t="s">
        <v>327</v>
      </c>
      <c r="C26" s="63" t="str">
        <f aca="false">IFERROR(__xludf.dummyfunction("""COMPUTED_VALUE"""),"SURATI")</f>
        <v>SURATI</v>
      </c>
      <c r="D26" s="63" t="str">
        <f aca="false">IFERROR(__xludf.dummyfunction("""COMPUTED_VALUE"""),"Uncontacted Telesales")</f>
        <v>Uncontacted Telesales</v>
      </c>
      <c r="E26" s="33" t="s">
        <v>328</v>
      </c>
      <c r="F26" s="33" t="s">
        <v>177</v>
      </c>
      <c r="G26" s="18" t="s">
        <v>329</v>
      </c>
      <c r="H26" s="18" t="s">
        <v>330</v>
      </c>
      <c r="I26" s="18" t="s">
        <v>240</v>
      </c>
      <c r="J26" s="18" t="s">
        <v>331</v>
      </c>
      <c r="K26" s="18" t="s">
        <v>181</v>
      </c>
      <c r="L26" s="21" t="e">
        <f aca="false">VLOOKUP(B27,#REF!,5,0)</f>
        <v>#VALUE!</v>
      </c>
      <c r="M26" s="34" t="s">
        <v>332</v>
      </c>
    </row>
    <row r="27" customFormat="false" ht="15" hidden="false" customHeight="false" outlineLevel="0" collapsed="false">
      <c r="A27" s="35"/>
      <c r="B27" s="46" t="s">
        <v>333</v>
      </c>
      <c r="C27" s="24" t="s">
        <v>168</v>
      </c>
      <c r="D27" s="64" t="s">
        <v>264</v>
      </c>
      <c r="E27" s="26" t="s">
        <v>334</v>
      </c>
      <c r="F27" s="26" t="e">
        <f aca="false">#N/A</f>
        <v>#N/A</v>
      </c>
      <c r="G27" s="26" t="s">
        <v>335</v>
      </c>
      <c r="H27" s="26" t="s">
        <v>336</v>
      </c>
      <c r="I27" s="26" t="s">
        <v>337</v>
      </c>
      <c r="J27" s="26" t="s">
        <v>338</v>
      </c>
      <c r="K27" s="26"/>
      <c r="L27" s="26"/>
      <c r="M27" s="26" t="s">
        <v>339</v>
      </c>
    </row>
    <row r="28" customFormat="false" ht="15" hidden="false" customHeight="false" outlineLevel="0" collapsed="false">
      <c r="A28" s="22"/>
      <c r="B28" s="10" t="s">
        <v>340</v>
      </c>
      <c r="C28" s="10" t="s">
        <v>341</v>
      </c>
      <c r="D28" s="10" t="s">
        <v>169</v>
      </c>
      <c r="E28" s="10" t="s">
        <v>342</v>
      </c>
      <c r="F28" s="10" t="s">
        <v>185</v>
      </c>
      <c r="G28" s="10" t="s">
        <v>343</v>
      </c>
      <c r="H28" s="10" t="s">
        <v>344</v>
      </c>
      <c r="I28" s="10" t="s">
        <v>296</v>
      </c>
      <c r="J28" s="44" t="s">
        <v>345</v>
      </c>
      <c r="K28" s="10" t="s">
        <v>298</v>
      </c>
      <c r="L28" s="10"/>
      <c r="M28" s="10" t="s">
        <v>346</v>
      </c>
    </row>
    <row r="29" customFormat="false" ht="15" hidden="false" customHeight="false" outlineLevel="0" collapsed="false">
      <c r="A29" s="22"/>
      <c r="B29" s="39" t="s">
        <v>347</v>
      </c>
      <c r="C29" s="65" t="str">
        <f aca="false">IFERROR(__xludf.dummyfunction("""COMPUTED_VALUE"""),"AHMAT SOHER")</f>
        <v>AHMAT SOHER</v>
      </c>
      <c r="D29" s="40" t="str">
        <f aca="false">IFERROR(__xludf.dummyfunction("""COMPUTED_VALUE"""),"Uncontacted Telesales")</f>
        <v>Uncontacted Telesales</v>
      </c>
      <c r="E29" s="19" t="s">
        <v>348</v>
      </c>
      <c r="F29" s="18" t="s">
        <v>185</v>
      </c>
      <c r="G29" s="19" t="s">
        <v>349</v>
      </c>
      <c r="H29" s="18" t="s">
        <v>350</v>
      </c>
      <c r="I29" s="18" t="s">
        <v>173</v>
      </c>
      <c r="J29" s="47" t="s">
        <v>351</v>
      </c>
      <c r="K29" s="18" t="s">
        <v>298</v>
      </c>
      <c r="L29" s="21" t="e">
        <f aca="false">VLOOKUP(B30,#REF!,5,0)</f>
        <v>#VALUE!</v>
      </c>
      <c r="M29" s="21" t="s">
        <v>352</v>
      </c>
    </row>
    <row r="30" customFormat="false" ht="15" hidden="false" customHeight="false" outlineLevel="0" collapsed="false">
      <c r="A30" s="66"/>
      <c r="B30" s="23" t="s">
        <v>353</v>
      </c>
      <c r="C30" s="66" t="s">
        <v>168</v>
      </c>
      <c r="D30" s="25" t="s">
        <v>169</v>
      </c>
      <c r="E30" s="26" t="s">
        <v>354</v>
      </c>
      <c r="F30" s="26" t="s">
        <v>185</v>
      </c>
      <c r="G30" s="26" t="s">
        <v>355</v>
      </c>
      <c r="H30" s="26" t="s">
        <v>356</v>
      </c>
      <c r="I30" s="26" t="s">
        <v>296</v>
      </c>
      <c r="J30" s="26" t="s">
        <v>357</v>
      </c>
      <c r="K30" s="26"/>
      <c r="L30" s="26"/>
      <c r="M30" s="26" t="s">
        <v>358</v>
      </c>
    </row>
    <row r="31" customFormat="false" ht="15" hidden="false" customHeight="false" outlineLevel="0" collapsed="false">
      <c r="A31" s="66"/>
      <c r="B31" s="39" t="s">
        <v>359</v>
      </c>
      <c r="C31" s="65" t="str">
        <f aca="false">IFERROR(__xludf.dummyfunction("""COMPUTED_VALUE"""),"Mokh nur khaerul kafid")</f>
        <v>Mokh nur khaerul kafid</v>
      </c>
      <c r="D31" s="40" t="str">
        <f aca="false">IFERROR(__xludf.dummyfunction("""COMPUTED_VALUE"""),"Konsumen Aktif M 0 - 6 Lunas")</f>
        <v>Konsumen Aktif M 0 - 6 Lunas</v>
      </c>
      <c r="E31" s="19" t="s">
        <v>360</v>
      </c>
      <c r="F31" s="18" t="s">
        <v>177</v>
      </c>
      <c r="G31" s="19" t="s">
        <v>361</v>
      </c>
      <c r="H31" s="18" t="s">
        <v>362</v>
      </c>
      <c r="I31" s="18" t="s">
        <v>363</v>
      </c>
      <c r="J31" s="47" t="s">
        <v>364</v>
      </c>
      <c r="K31" s="67" t="s">
        <v>190</v>
      </c>
      <c r="L31" s="21" t="e">
        <f aca="false">VLOOKUP(#REF!,#REF!,5,0)</f>
        <v>#VALUE!</v>
      </c>
      <c r="M31" s="21" t="s">
        <v>365</v>
      </c>
    </row>
    <row r="32" customFormat="false" ht="15" hidden="false" customHeight="false" outlineLevel="0" collapsed="false">
      <c r="A32" s="66"/>
      <c r="B32" s="23" t="s">
        <v>366</v>
      </c>
      <c r="C32" s="66" t="s">
        <v>168</v>
      </c>
      <c r="D32" s="25" t="s">
        <v>169</v>
      </c>
      <c r="E32" s="26" t="s">
        <v>367</v>
      </c>
      <c r="F32" s="26" t="s">
        <v>185</v>
      </c>
      <c r="G32" s="26" t="s">
        <v>368</v>
      </c>
      <c r="H32" s="26" t="s">
        <v>369</v>
      </c>
      <c r="I32" s="26" t="s">
        <v>337</v>
      </c>
      <c r="J32" s="26" t="s">
        <v>370</v>
      </c>
      <c r="K32" s="26"/>
      <c r="L32" s="26"/>
      <c r="M32" s="26" t="s">
        <v>371</v>
      </c>
      <c r="O32" s="26" t="s">
        <v>372</v>
      </c>
    </row>
    <row r="33" customFormat="false" ht="15" hidden="false" customHeight="false" outlineLevel="0" collapsed="false">
      <c r="A33" s="66"/>
      <c r="B33" s="23" t="s">
        <v>373</v>
      </c>
      <c r="C33" s="66" t="s">
        <v>168</v>
      </c>
      <c r="D33" s="25" t="s">
        <v>169</v>
      </c>
      <c r="E33" s="26" t="s">
        <v>374</v>
      </c>
      <c r="F33" s="26" t="s">
        <v>185</v>
      </c>
      <c r="G33" s="26" t="s">
        <v>375</v>
      </c>
      <c r="H33" s="26" t="s">
        <v>376</v>
      </c>
      <c r="I33" s="26" t="s">
        <v>377</v>
      </c>
      <c r="J33" s="26" t="s">
        <v>378</v>
      </c>
      <c r="K33" s="26"/>
      <c r="L33" s="26"/>
      <c r="M33" s="26" t="s">
        <v>379</v>
      </c>
      <c r="O33" s="60" t="s">
        <v>372</v>
      </c>
    </row>
    <row r="34" customFormat="false" ht="15" hidden="false" customHeight="false" outlineLevel="0" collapsed="false">
      <c r="A34" s="66"/>
      <c r="B34" s="23" t="s">
        <v>380</v>
      </c>
      <c r="C34" s="66" t="s">
        <v>168</v>
      </c>
      <c r="D34" s="25" t="s">
        <v>169</v>
      </c>
      <c r="E34" s="26" t="s">
        <v>381</v>
      </c>
      <c r="F34" s="26" t="s">
        <v>250</v>
      </c>
      <c r="G34" s="26" t="s">
        <v>382</v>
      </c>
      <c r="H34" s="26" t="s">
        <v>383</v>
      </c>
      <c r="I34" s="26" t="s">
        <v>268</v>
      </c>
      <c r="J34" s="26" t="s">
        <v>384</v>
      </c>
      <c r="K34" s="26"/>
      <c r="L34" s="26"/>
      <c r="M34" s="26" t="s">
        <v>385</v>
      </c>
      <c r="O34" s="60" t="s">
        <v>372</v>
      </c>
    </row>
    <row r="35" customFormat="false" ht="15" hidden="false" customHeight="false" outlineLevel="0" collapsed="false">
      <c r="A35" s="66"/>
      <c r="B35" s="23" t="s">
        <v>386</v>
      </c>
      <c r="C35" s="66" t="s">
        <v>168</v>
      </c>
      <c r="D35" s="25" t="s">
        <v>169</v>
      </c>
      <c r="E35" s="26" t="s">
        <v>387</v>
      </c>
      <c r="F35" s="26" t="s">
        <v>185</v>
      </c>
      <c r="G35" s="26" t="s">
        <v>388</v>
      </c>
      <c r="H35" s="26" t="s">
        <v>389</v>
      </c>
      <c r="I35" s="26" t="s">
        <v>234</v>
      </c>
      <c r="J35" s="26" t="s">
        <v>390</v>
      </c>
      <c r="K35" s="26"/>
      <c r="L35" s="26"/>
      <c r="M35" s="26" t="s">
        <v>391</v>
      </c>
      <c r="O35" s="40" t="s">
        <v>372</v>
      </c>
    </row>
    <row r="36" customFormat="false" ht="15" hidden="false" customHeight="false" outlineLevel="0" collapsed="false">
      <c r="A36" s="66"/>
      <c r="B36" s="68" t="s">
        <v>392</v>
      </c>
      <c r="C36" s="69" t="str">
        <f aca="false">IFERROR(__xludf.dummyfunction("""COMPUTED_VALUE"""),"VICKY YUSRI ARDIWINATA")</f>
        <v>VICKY YUSRI ARDIWINATA</v>
      </c>
      <c r="D36" s="16" t="str">
        <f aca="false">IFERROR(__xludf.dummyfunction("""COMPUTED_VALUE"""),"Konsumen Lunas M +3")</f>
        <v>Konsumen Lunas M +3</v>
      </c>
      <c r="E36" s="18" t="s">
        <v>393</v>
      </c>
      <c r="F36" s="18" t="s">
        <v>185</v>
      </c>
      <c r="G36" s="18" t="s">
        <v>394</v>
      </c>
      <c r="H36" s="18" t="s">
        <v>395</v>
      </c>
      <c r="I36" s="18" t="s">
        <v>396</v>
      </c>
      <c r="J36" s="33" t="s">
        <v>397</v>
      </c>
      <c r="K36" s="18" t="n">
        <v>0</v>
      </c>
      <c r="L36" s="21" t="e">
        <f aca="false">VLOOKUP(B38,#REF!,5,0)</f>
        <v>#VALUE!</v>
      </c>
      <c r="M36" s="21" t="s">
        <v>398</v>
      </c>
      <c r="O36" s="26" t="s">
        <v>372</v>
      </c>
    </row>
    <row r="37" customFormat="false" ht="15" hidden="false" customHeight="false" outlineLevel="0" collapsed="false">
      <c r="A37" s="66"/>
      <c r="B37" s="15" t="s">
        <v>399</v>
      </c>
      <c r="C37" s="70" t="str">
        <f aca="false">IFERROR(__xludf.dummyfunction("""COMPUTED_VALUE"""),"TEGUH HARIYANTO")</f>
        <v>TEGUH HARIYANTO</v>
      </c>
      <c r="D37" s="16" t="str">
        <f aca="false">IFERROR(__xludf.dummyfunction("""COMPUTED_VALUE"""),"Konsumen Lunas M +3")</f>
        <v>Konsumen Lunas M +3</v>
      </c>
      <c r="E37" s="18" t="s">
        <v>400</v>
      </c>
      <c r="F37" s="18" t="s">
        <v>177</v>
      </c>
      <c r="G37" s="18" t="s">
        <v>401</v>
      </c>
      <c r="H37" s="18" t="s">
        <v>402</v>
      </c>
      <c r="I37" s="18" t="s">
        <v>363</v>
      </c>
      <c r="J37" s="33" t="s">
        <v>403</v>
      </c>
      <c r="K37" s="18" t="s">
        <v>181</v>
      </c>
      <c r="L37" s="21" t="e">
        <f aca="false">VLOOKUP(B39,#REF!,5,0)</f>
        <v>#VALUE!</v>
      </c>
      <c r="M37" s="21" t="n">
        <v>83116043887</v>
      </c>
      <c r="O37" s="40" t="s">
        <v>372</v>
      </c>
    </row>
    <row r="38" customFormat="false" ht="15" hidden="false" customHeight="false" outlineLevel="0" collapsed="false">
      <c r="A38" s="66"/>
      <c r="B38" s="15" t="s">
        <v>404</v>
      </c>
      <c r="C38" s="70" t="str">
        <f aca="false">IFERROR(__xludf.dummyfunction("""COMPUTED_VALUE"""),"MOH  ZAKKI")</f>
        <v>MOH  ZAKKI</v>
      </c>
      <c r="D38" s="16" t="str">
        <f aca="false">IFERROR(__xludf.dummyfunction("""COMPUTED_VALUE"""),"Konsumen Lunas M +3")</f>
        <v>Konsumen Lunas M +3</v>
      </c>
      <c r="E38" s="18" t="s">
        <v>405</v>
      </c>
      <c r="F38" s="18" t="s">
        <v>185</v>
      </c>
      <c r="G38" s="18" t="s">
        <v>406</v>
      </c>
      <c r="H38" s="18" t="s">
        <v>295</v>
      </c>
      <c r="I38" s="18" t="s">
        <v>295</v>
      </c>
      <c r="J38" s="33" t="n">
        <v>0</v>
      </c>
      <c r="K38" s="18" t="n">
        <v>0</v>
      </c>
      <c r="L38" s="21" t="e">
        <f aca="false">VLOOKUP(B40,#REF!,5,0)</f>
        <v>#VALUE!</v>
      </c>
      <c r="M38" s="21" t="s">
        <v>407</v>
      </c>
      <c r="O38" s="40" t="s">
        <v>18</v>
      </c>
    </row>
    <row r="39" customFormat="false" ht="15" hidden="false" customHeight="false" outlineLevel="0" collapsed="false">
      <c r="A39" s="66"/>
      <c r="B39" s="39" t="s">
        <v>408</v>
      </c>
      <c r="C39" s="65" t="s">
        <v>409</v>
      </c>
      <c r="D39" s="40" t="s">
        <v>152</v>
      </c>
      <c r="E39" s="37" t="s">
        <v>410</v>
      </c>
      <c r="F39" s="10"/>
      <c r="G39" s="10" t="s">
        <v>411</v>
      </c>
      <c r="H39" s="37" t="s">
        <v>412</v>
      </c>
      <c r="I39" s="10" t="s">
        <v>320</v>
      </c>
      <c r="J39" s="10" t="s">
        <v>413</v>
      </c>
      <c r="K39" s="37"/>
      <c r="L39" s="43" t="s">
        <v>414</v>
      </c>
      <c r="M39" s="10" t="s">
        <v>415</v>
      </c>
      <c r="O39" s="40" t="s">
        <v>18</v>
      </c>
    </row>
    <row r="40" customFormat="false" ht="15" hidden="false" customHeight="false" outlineLevel="0" collapsed="false">
      <c r="B40" s="71" t="s">
        <v>153</v>
      </c>
      <c r="C40" s="72" t="s">
        <v>154</v>
      </c>
      <c r="D40" s="10" t="s">
        <v>416</v>
      </c>
      <c r="E40" s="10" t="s">
        <v>417</v>
      </c>
      <c r="F40" s="10" t="s">
        <v>177</v>
      </c>
      <c r="G40" s="10" t="s">
        <v>418</v>
      </c>
      <c r="H40" s="36" t="s">
        <v>419</v>
      </c>
      <c r="I40" s="36" t="s">
        <v>188</v>
      </c>
      <c r="J40" s="44" t="s">
        <v>420</v>
      </c>
      <c r="K40" s="73" t="s">
        <v>190</v>
      </c>
      <c r="L40" s="10"/>
      <c r="M40" s="10" t="n">
        <v>89677104292</v>
      </c>
      <c r="O40" s="40" t="s">
        <v>18</v>
      </c>
    </row>
    <row r="41" customFormat="false" ht="15" hidden="false" customHeight="false" outlineLevel="0" collapsed="false">
      <c r="A41" s="66"/>
      <c r="B41" s="15" t="s">
        <v>421</v>
      </c>
      <c r="C41" s="70" t="s">
        <v>422</v>
      </c>
      <c r="D41" s="16" t="s">
        <v>169</v>
      </c>
      <c r="E41" s="10" t="s">
        <v>423</v>
      </c>
      <c r="F41" s="10" t="s">
        <v>177</v>
      </c>
      <c r="G41" s="10" t="s">
        <v>424</v>
      </c>
      <c r="H41" s="37" t="s">
        <v>425</v>
      </c>
      <c r="I41" s="10" t="s">
        <v>295</v>
      </c>
      <c r="J41" s="10" t="n">
        <v>0</v>
      </c>
      <c r="K41" s="37"/>
      <c r="L41" s="43" t="s">
        <v>208</v>
      </c>
      <c r="M41" s="37" t="s">
        <v>426</v>
      </c>
      <c r="O41" s="40" t="s">
        <v>18</v>
      </c>
    </row>
    <row r="42" customFormat="false" ht="15" hidden="false" customHeight="false" outlineLevel="0" collapsed="false">
      <c r="A42" s="66"/>
      <c r="B42" s="39" t="s">
        <v>427</v>
      </c>
      <c r="C42" s="65" t="s">
        <v>428</v>
      </c>
      <c r="D42" s="40" t="s">
        <v>152</v>
      </c>
      <c r="E42" s="41" t="s">
        <v>429</v>
      </c>
      <c r="F42" s="10" t="s">
        <v>177</v>
      </c>
      <c r="G42" s="19" t="s">
        <v>430</v>
      </c>
      <c r="H42" s="37" t="s">
        <v>431</v>
      </c>
      <c r="I42" s="10" t="s">
        <v>363</v>
      </c>
      <c r="J42" s="74" t="s">
        <v>432</v>
      </c>
      <c r="K42" s="37" t="s">
        <v>181</v>
      </c>
      <c r="L42" s="43" t="s">
        <v>414</v>
      </c>
      <c r="M42" s="75" t="n">
        <v>85226865385</v>
      </c>
      <c r="O42" s="56" t="s">
        <v>18</v>
      </c>
    </row>
    <row r="43" customFormat="false" ht="15" hidden="false" customHeight="false" outlineLevel="0" collapsed="false">
      <c r="A43" s="66"/>
      <c r="B43" s="23" t="s">
        <v>433</v>
      </c>
      <c r="C43" s="24" t="s">
        <v>168</v>
      </c>
      <c r="D43" s="25" t="s">
        <v>169</v>
      </c>
      <c r="E43" s="26" t="s">
        <v>434</v>
      </c>
      <c r="F43" s="26" t="s">
        <v>185</v>
      </c>
      <c r="G43" s="26" t="s">
        <v>435</v>
      </c>
      <c r="H43" s="26" t="s">
        <v>436</v>
      </c>
      <c r="I43" s="26" t="s">
        <v>437</v>
      </c>
      <c r="J43" s="26" t="s">
        <v>438</v>
      </c>
      <c r="K43" s="26"/>
      <c r="L43" s="26"/>
      <c r="M43" s="26" t="s">
        <v>439</v>
      </c>
      <c r="O43" s="40" t="s">
        <v>18</v>
      </c>
    </row>
    <row r="44" customFormat="false" ht="15" hidden="false" customHeight="false" outlineLevel="0" collapsed="false">
      <c r="A44" s="66"/>
      <c r="B44" s="15" t="s">
        <v>440</v>
      </c>
      <c r="C44" s="15" t="str">
        <f aca="false">IFERROR(__xludf.dummyfunction("""COMPUTED_VALUE"""),"DWI LESTARI")</f>
        <v>DWI LESTARI</v>
      </c>
      <c r="D44" s="16" t="str">
        <f aca="false">IFERROR(__xludf.dummyfunction("""COMPUTED_VALUE"""),"Konsumen Lunas M +3")</f>
        <v>Konsumen Lunas M +3</v>
      </c>
      <c r="E44" s="33" t="s">
        <v>441</v>
      </c>
      <c r="F44" s="18" t="s">
        <v>177</v>
      </c>
      <c r="G44" s="33" t="s">
        <v>442</v>
      </c>
      <c r="H44" s="18" t="s">
        <v>320</v>
      </c>
      <c r="I44" s="18" t="s">
        <v>320</v>
      </c>
      <c r="J44" s="18" t="s">
        <v>443</v>
      </c>
      <c r="K44" s="33" t="n">
        <v>0</v>
      </c>
      <c r="L44" s="21" t="e">
        <f aca="false">VLOOKUP(B47,#REF!,5,0)</f>
        <v>#VALUE!</v>
      </c>
      <c r="M44" s="34" t="s">
        <v>444</v>
      </c>
      <c r="O44" s="40" t="s">
        <v>18</v>
      </c>
    </row>
    <row r="45" customFormat="false" ht="15" hidden="false" customHeight="false" outlineLevel="0" collapsed="false">
      <c r="B45" s="71" t="s">
        <v>150</v>
      </c>
      <c r="C45" s="71" t="s">
        <v>151</v>
      </c>
      <c r="D45" s="10" t="s">
        <v>416</v>
      </c>
      <c r="E45" s="10" t="s">
        <v>445</v>
      </c>
      <c r="F45" s="10" t="s">
        <v>177</v>
      </c>
      <c r="G45" s="10" t="s">
        <v>446</v>
      </c>
      <c r="H45" s="36" t="s">
        <v>447</v>
      </c>
      <c r="I45" s="36" t="s">
        <v>363</v>
      </c>
      <c r="J45" s="44" t="s">
        <v>448</v>
      </c>
      <c r="K45" s="10" t="s">
        <v>190</v>
      </c>
      <c r="L45" s="10"/>
      <c r="M45" s="10" t="n">
        <v>81393112233</v>
      </c>
      <c r="O45" s="40" t="s">
        <v>18</v>
      </c>
    </row>
    <row r="46" customFormat="false" ht="15" hidden="false" customHeight="false" outlineLevel="0" collapsed="false">
      <c r="A46" s="76"/>
      <c r="B46" s="39" t="s">
        <v>449</v>
      </c>
      <c r="C46" s="40" t="s">
        <v>450</v>
      </c>
      <c r="D46" s="40" t="s">
        <v>22</v>
      </c>
      <c r="E46" s="37" t="s">
        <v>451</v>
      </c>
      <c r="F46" s="10" t="s">
        <v>177</v>
      </c>
      <c r="G46" s="37" t="s">
        <v>452</v>
      </c>
      <c r="H46" s="10" t="s">
        <v>453</v>
      </c>
      <c r="I46" s="10" t="s">
        <v>454</v>
      </c>
      <c r="J46" s="10" t="n">
        <v>0</v>
      </c>
      <c r="K46" s="10" t="s">
        <v>190</v>
      </c>
      <c r="L46" s="43" t="s">
        <v>208</v>
      </c>
      <c r="M46" s="10" t="s">
        <v>455</v>
      </c>
      <c r="O46" s="40" t="s">
        <v>18</v>
      </c>
    </row>
    <row r="47" customFormat="false" ht="15" hidden="false" customHeight="false" outlineLevel="0" collapsed="false">
      <c r="A47" s="66"/>
      <c r="B47" s="39" t="s">
        <v>456</v>
      </c>
      <c r="C47" s="40" t="s">
        <v>457</v>
      </c>
      <c r="D47" s="40" t="s">
        <v>22</v>
      </c>
      <c r="E47" s="10" t="s">
        <v>458</v>
      </c>
      <c r="F47" s="10" t="s">
        <v>185</v>
      </c>
      <c r="G47" s="10" t="s">
        <v>459</v>
      </c>
      <c r="H47" s="10" t="s">
        <v>179</v>
      </c>
      <c r="I47" s="10" t="s">
        <v>173</v>
      </c>
      <c r="J47" s="10" t="s">
        <v>460</v>
      </c>
      <c r="K47" s="10"/>
      <c r="L47" s="43" t="s">
        <v>414</v>
      </c>
      <c r="M47" s="10" t="s">
        <v>461</v>
      </c>
      <c r="O47" s="56" t="s">
        <v>149</v>
      </c>
    </row>
    <row r="48" customFormat="false" ht="15" hidden="false" customHeight="false" outlineLevel="0" collapsed="false">
      <c r="A48" s="66"/>
      <c r="B48" s="55" t="s">
        <v>462</v>
      </c>
      <c r="C48" s="24" t="s">
        <v>168</v>
      </c>
      <c r="D48" s="56" t="s">
        <v>152</v>
      </c>
      <c r="E48" s="26" t="s">
        <v>463</v>
      </c>
      <c r="F48" s="26" t="s">
        <v>250</v>
      </c>
      <c r="G48" s="26" t="s">
        <v>464</v>
      </c>
      <c r="H48" s="26" t="s">
        <v>465</v>
      </c>
      <c r="I48" s="26" t="s">
        <v>437</v>
      </c>
      <c r="J48" s="26" t="s">
        <v>466</v>
      </c>
      <c r="K48" s="26"/>
      <c r="L48" s="26"/>
      <c r="M48" s="26" t="s">
        <v>467</v>
      </c>
      <c r="O48" s="56" t="s">
        <v>149</v>
      </c>
    </row>
    <row r="49" customFormat="false" ht="15" hidden="false" customHeight="false" outlineLevel="0" collapsed="false">
      <c r="A49" s="66"/>
      <c r="B49" s="39" t="s">
        <v>468</v>
      </c>
      <c r="C49" s="40" t="str">
        <f aca="false">IFERROR(__xludf.dummyfunction("""COMPUTED_VALUE"""),"Sapiin")</f>
        <v>Sapiin</v>
      </c>
      <c r="D49" s="40" t="str">
        <f aca="false">IFERROR(__xludf.dummyfunction("""COMPUTED_VALUE"""),"Uncontacted Telesales")</f>
        <v>Uncontacted Telesales</v>
      </c>
      <c r="E49" s="18" t="s">
        <v>469</v>
      </c>
      <c r="F49" s="18" t="s">
        <v>177</v>
      </c>
      <c r="G49" s="18" t="s">
        <v>470</v>
      </c>
      <c r="H49" s="18" t="s">
        <v>312</v>
      </c>
      <c r="I49" s="18" t="s">
        <v>312</v>
      </c>
      <c r="J49" s="18" t="s">
        <v>471</v>
      </c>
      <c r="K49" s="18" t="n">
        <v>0</v>
      </c>
      <c r="L49" s="21" t="e">
        <f aca="false">VLOOKUP(B52,#REF!,5,0)</f>
        <v>#VALUE!</v>
      </c>
      <c r="M49" s="21" t="s">
        <v>472</v>
      </c>
      <c r="O49" s="56" t="s">
        <v>149</v>
      </c>
    </row>
    <row r="50" customFormat="false" ht="15" hidden="false" customHeight="false" outlineLevel="0" collapsed="false">
      <c r="A50" s="66"/>
      <c r="B50" s="39" t="s">
        <v>473</v>
      </c>
      <c r="C50" s="39" t="str">
        <f aca="false">IFERROR(__xludf.dummyfunction("""COMPUTED_VALUE"""),"Najwa nimatul maula")</f>
        <v>Najwa nimatul maula</v>
      </c>
      <c r="D50" s="40" t="str">
        <f aca="false">IFERROR(__xludf.dummyfunction("""COMPUTED_VALUE"""),"Konsumen Aktif M 0 - 6 Lunas")</f>
        <v>Konsumen Aktif M 0 - 6 Lunas</v>
      </c>
      <c r="E50" s="18" t="s">
        <v>474</v>
      </c>
      <c r="F50" s="18" t="s">
        <v>177</v>
      </c>
      <c r="G50" s="18" t="s">
        <v>475</v>
      </c>
      <c r="H50" s="18" t="s">
        <v>476</v>
      </c>
      <c r="I50" s="18" t="s">
        <v>188</v>
      </c>
      <c r="J50" s="18" t="s">
        <v>477</v>
      </c>
      <c r="K50" s="18" t="s">
        <v>190</v>
      </c>
      <c r="L50" s="21" t="e">
        <f aca="false">VLOOKUP(B53,#REF!,5,0)</f>
        <v>#VALUE!</v>
      </c>
      <c r="M50" s="21" t="s">
        <v>478</v>
      </c>
      <c r="O50" s="56" t="s">
        <v>149</v>
      </c>
    </row>
    <row r="51" customFormat="false" ht="15" hidden="false" customHeight="false" outlineLevel="0" collapsed="false">
      <c r="A51" s="65"/>
      <c r="B51" s="39" t="s">
        <v>479</v>
      </c>
      <c r="C51" s="40" t="str">
        <f aca="false">IFERROR(__xludf.dummyfunction("""COMPUTED_VALUE"""),"Dalmadi")</f>
        <v>Dalmadi</v>
      </c>
      <c r="D51" s="40" t="str">
        <f aca="false">IFERROR(__xludf.dummyfunction("""COMPUTED_VALUE"""),"Konsumen Aktif M 0 - 6 Lunas")</f>
        <v>Konsumen Aktif M 0 - 6 Lunas</v>
      </c>
      <c r="E51" s="18" t="s">
        <v>480</v>
      </c>
      <c r="F51" s="18" t="s">
        <v>185</v>
      </c>
      <c r="G51" s="18" t="s">
        <v>481</v>
      </c>
      <c r="H51" s="18" t="s">
        <v>482</v>
      </c>
      <c r="I51" s="18" t="s">
        <v>312</v>
      </c>
      <c r="J51" s="18" t="s">
        <v>483</v>
      </c>
      <c r="K51" s="18" t="s">
        <v>298</v>
      </c>
      <c r="L51" s="21" t="e">
        <f aca="false">VLOOKUP(#REF!,#REF!,5,0)</f>
        <v>#VALUE!</v>
      </c>
      <c r="M51" s="21" t="n">
        <v>81390215722</v>
      </c>
      <c r="O51" s="56" t="s">
        <v>149</v>
      </c>
    </row>
    <row r="52" customFormat="false" ht="15" hidden="false" customHeight="false" outlineLevel="0" collapsed="false">
      <c r="B52" s="10" t="s">
        <v>484</v>
      </c>
      <c r="C52" s="10" t="s">
        <v>485</v>
      </c>
      <c r="D52" s="10" t="s">
        <v>302</v>
      </c>
      <c r="E52" s="10" t="s">
        <v>486</v>
      </c>
      <c r="F52" s="10" t="s">
        <v>177</v>
      </c>
      <c r="G52" s="10" t="s">
        <v>487</v>
      </c>
      <c r="H52" s="36" t="s">
        <v>253</v>
      </c>
      <c r="I52" s="10" t="s">
        <v>253</v>
      </c>
      <c r="J52" s="36" t="s">
        <v>180</v>
      </c>
      <c r="K52" s="36" t="s">
        <v>181</v>
      </c>
      <c r="L52" s="10"/>
      <c r="M52" s="36" t="s">
        <v>180</v>
      </c>
    </row>
    <row r="53" customFormat="false" ht="15" hidden="false" customHeight="false" outlineLevel="0" collapsed="false">
      <c r="A53" s="66"/>
      <c r="B53" s="71" t="s">
        <v>488</v>
      </c>
      <c r="C53" s="10" t="s">
        <v>489</v>
      </c>
      <c r="D53" s="10" t="s">
        <v>416</v>
      </c>
      <c r="E53" s="10" t="s">
        <v>490</v>
      </c>
      <c r="F53" s="10" t="s">
        <v>185</v>
      </c>
      <c r="G53" s="10" t="s">
        <v>491</v>
      </c>
      <c r="H53" s="36" t="s">
        <v>492</v>
      </c>
      <c r="I53" s="36" t="s">
        <v>19</v>
      </c>
      <c r="J53" s="36" t="s">
        <v>180</v>
      </c>
      <c r="K53" s="10" t="s">
        <v>181</v>
      </c>
      <c r="L53" s="10"/>
      <c r="M53" s="36" t="s">
        <v>180</v>
      </c>
    </row>
    <row r="54" customFormat="false" ht="15" hidden="false" customHeight="false" outlineLevel="0" collapsed="false">
      <c r="B54" s="15" t="s">
        <v>493</v>
      </c>
      <c r="C54" s="15" t="str">
        <f aca="false">IFERROR(__xludf.dummyfunction("""COMPUTED_VALUE"""),"Suhadi")</f>
        <v>Suhadi</v>
      </c>
      <c r="D54" s="16" t="str">
        <f aca="false">IFERROR(__xludf.dummyfunction("""COMPUTED_VALUE"""),"Konsumen Lunas M +3")</f>
        <v>Konsumen Lunas M +3</v>
      </c>
      <c r="E54" s="18" t="s">
        <v>494</v>
      </c>
      <c r="F54" s="18" t="s">
        <v>177</v>
      </c>
      <c r="G54" s="18" t="s">
        <v>495</v>
      </c>
      <c r="H54" s="18" t="s">
        <v>436</v>
      </c>
      <c r="I54" s="18" t="s">
        <v>437</v>
      </c>
      <c r="J54" s="18" t="s">
        <v>496</v>
      </c>
      <c r="K54" s="18" t="s">
        <v>181</v>
      </c>
      <c r="L54" s="21" t="e">
        <f aca="false">VLOOKUP(B60,#REF!,5,0)</f>
        <v>#VALUE!</v>
      </c>
      <c r="M54" s="21" t="n">
        <v>87878610973</v>
      </c>
    </row>
    <row r="55" customFormat="false" ht="15" hidden="false" customHeight="false" outlineLevel="0" collapsed="false">
      <c r="A55" s="66"/>
      <c r="B55" s="39" t="s">
        <v>497</v>
      </c>
      <c r="C55" s="40" t="str">
        <f aca="false">IFERROR(__xludf.dummyfunction("""COMPUTED_VALUE"""),"Hery prastyanto")</f>
        <v>Hery prastyanto</v>
      </c>
      <c r="D55" s="40" t="str">
        <f aca="false">IFERROR(__xludf.dummyfunction("""COMPUTED_VALUE"""),"Konsumen Aktif M 0 - 6 Lunas")</f>
        <v>Konsumen Aktif M 0 - 6 Lunas</v>
      </c>
      <c r="E55" s="18" t="s">
        <v>498</v>
      </c>
      <c r="F55" s="18" t="s">
        <v>177</v>
      </c>
      <c r="G55" s="18" t="s">
        <v>499</v>
      </c>
      <c r="H55" s="18" t="s">
        <v>500</v>
      </c>
      <c r="I55" s="18" t="s">
        <v>501</v>
      </c>
      <c r="J55" s="18" t="s">
        <v>502</v>
      </c>
      <c r="K55" s="18" t="s">
        <v>181</v>
      </c>
      <c r="L55" s="21" t="e">
        <f aca="false">VLOOKUP(#REF!,#REF!,5,0)</f>
        <v>#VALUE!</v>
      </c>
      <c r="M55" s="21" t="s">
        <v>503</v>
      </c>
    </row>
    <row r="56" customFormat="false" ht="15" hidden="false" customHeight="false" outlineLevel="0" collapsed="false">
      <c r="A56" s="66"/>
      <c r="B56" s="68" t="s">
        <v>504</v>
      </c>
      <c r="C56" s="68" t="str">
        <f aca="false">IFERROR(__xludf.dummyfunction("""COMPUTED_VALUE"""),"IMAM BUKHORI")</f>
        <v>IMAM BUKHORI</v>
      </c>
      <c r="D56" s="16" t="str">
        <f aca="false">IFERROR(__xludf.dummyfunction("""COMPUTED_VALUE"""),"Konsumen Lunas M +3")</f>
        <v>Konsumen Lunas M +3</v>
      </c>
      <c r="E56" s="18" t="s">
        <v>505</v>
      </c>
      <c r="F56" s="18" t="s">
        <v>177</v>
      </c>
      <c r="G56" s="18" t="s">
        <v>506</v>
      </c>
      <c r="H56" s="18" t="s">
        <v>239</v>
      </c>
      <c r="I56" s="18" t="s">
        <v>240</v>
      </c>
      <c r="J56" s="47" t="s">
        <v>507</v>
      </c>
      <c r="K56" s="18" t="s">
        <v>181</v>
      </c>
      <c r="L56" s="21" t="e">
        <f aca="false">VLOOKUP(B61,#REF!,5,0)</f>
        <v>#VALUE!</v>
      </c>
      <c r="M56" s="77" t="s">
        <v>508</v>
      </c>
    </row>
    <row r="57" customFormat="false" ht="15" hidden="false" customHeight="false" outlineLevel="0" collapsed="false">
      <c r="A57" s="66"/>
      <c r="B57" s="15" t="s">
        <v>509</v>
      </c>
      <c r="C57" s="15" t="str">
        <f aca="false">IFERROR(__xludf.dummyfunction("""COMPUTED_VALUE"""),"MAHFUD SAIFUDIN")</f>
        <v>MAHFUD SAIFUDIN</v>
      </c>
      <c r="D57" s="16" t="str">
        <f aca="false">IFERROR(__xludf.dummyfunction("""COMPUTED_VALUE"""),"Konsumen Lunas M +3")</f>
        <v>Konsumen Lunas M +3</v>
      </c>
      <c r="E57" s="18" t="s">
        <v>510</v>
      </c>
      <c r="F57" s="18" t="s">
        <v>177</v>
      </c>
      <c r="G57" s="18" t="s">
        <v>511</v>
      </c>
      <c r="H57" s="18" t="s">
        <v>512</v>
      </c>
      <c r="I57" s="18" t="s">
        <v>260</v>
      </c>
      <c r="J57" s="18" t="s">
        <v>513</v>
      </c>
      <c r="K57" s="18" t="n">
        <v>0</v>
      </c>
      <c r="L57" s="21" t="e">
        <f aca="false">VLOOKUP(B62,#REF!,5,0)</f>
        <v>#VALUE!</v>
      </c>
      <c r="M57" s="21" t="s">
        <v>514</v>
      </c>
    </row>
    <row r="58" customFormat="false" ht="15" hidden="false" customHeight="false" outlineLevel="0" collapsed="false">
      <c r="A58" s="76"/>
      <c r="B58" s="39" t="s">
        <v>515</v>
      </c>
      <c r="C58" s="40" t="str">
        <f aca="false">IFERROR(__xludf.dummyfunction("""COMPUTED_VALUE"""),"SAYONO")</f>
        <v>SAYONO</v>
      </c>
      <c r="D58" s="40" t="str">
        <f aca="false">IFERROR(__xludf.dummyfunction("""COMPUTED_VALUE"""),"Uncontacted Telesales")</f>
        <v>Uncontacted Telesales</v>
      </c>
      <c r="E58" s="18" t="s">
        <v>516</v>
      </c>
      <c r="F58" s="18" t="s">
        <v>177</v>
      </c>
      <c r="G58" s="18" t="s">
        <v>517</v>
      </c>
      <c r="H58" s="18" t="s">
        <v>518</v>
      </c>
      <c r="I58" s="18" t="s">
        <v>173</v>
      </c>
      <c r="J58" s="18" t="s">
        <v>519</v>
      </c>
      <c r="K58" s="18" t="s">
        <v>190</v>
      </c>
      <c r="L58" s="21" t="e">
        <f aca="false">VLOOKUP(#REF!,#REF!,5,0)</f>
        <v>#VALUE!</v>
      </c>
      <c r="M58" s="21" t="s">
        <v>519</v>
      </c>
    </row>
    <row r="59" customFormat="false" ht="15" hidden="false" customHeight="false" outlineLevel="0" collapsed="false">
      <c r="A59" s="66"/>
      <c r="B59" s="15" t="s">
        <v>520</v>
      </c>
      <c r="C59" s="32" t="str">
        <f aca="false">IFERROR(__xludf.dummyfunction("""COMPUTED_VALUE"""),"Indra Saputra")</f>
        <v>Indra Saputra</v>
      </c>
      <c r="D59" s="16" t="str">
        <f aca="false">IFERROR(__xludf.dummyfunction("""COMPUTED_VALUE"""),"Konsumen Lunas M +3")</f>
        <v>Konsumen Lunas M +3</v>
      </c>
      <c r="E59" s="18" t="s">
        <v>521</v>
      </c>
      <c r="F59" s="18" t="s">
        <v>177</v>
      </c>
      <c r="G59" s="18" t="s">
        <v>522</v>
      </c>
      <c r="H59" s="18" t="s">
        <v>523</v>
      </c>
      <c r="I59" s="18" t="s">
        <v>288</v>
      </c>
      <c r="J59" s="18" t="s">
        <v>524</v>
      </c>
      <c r="K59" s="18" t="n">
        <v>0</v>
      </c>
      <c r="L59" s="21" t="e">
        <f aca="false">VLOOKUP(B63,#REF!,5,0)</f>
        <v>#VALUE!</v>
      </c>
      <c r="M59" s="21" t="s">
        <v>525</v>
      </c>
    </row>
    <row r="60" customFormat="false" ht="15" hidden="false" customHeight="false" outlineLevel="0" collapsed="false">
      <c r="A60" s="66"/>
      <c r="B60" s="39" t="s">
        <v>526</v>
      </c>
      <c r="C60" s="40" t="str">
        <f aca="false">IFERROR(__xludf.dummyfunction("""COMPUTED_VALUE"""),"SOFAN ABDUL GHOFUR")</f>
        <v>SOFAN ABDUL GHOFUR</v>
      </c>
      <c r="D60" s="40" t="str">
        <f aca="false">IFERROR(__xludf.dummyfunction("""COMPUTED_VALUE"""),"Uncontacted Telesales")</f>
        <v>Uncontacted Telesales</v>
      </c>
      <c r="E60" s="18" t="s">
        <v>527</v>
      </c>
      <c r="F60" s="18" t="s">
        <v>177</v>
      </c>
      <c r="G60" s="18" t="s">
        <v>528</v>
      </c>
      <c r="H60" s="18" t="s">
        <v>529</v>
      </c>
      <c r="I60" s="18" t="s">
        <v>296</v>
      </c>
      <c r="J60" s="18" t="s">
        <v>530</v>
      </c>
      <c r="K60" s="18" t="s">
        <v>181</v>
      </c>
      <c r="L60" s="21" t="e">
        <f aca="false">VLOOKUP(B64,#REF!,5,0)</f>
        <v>#VALUE!</v>
      </c>
      <c r="M60" s="21" t="n">
        <v>85947407313</v>
      </c>
    </row>
    <row r="61" customFormat="false" ht="15" hidden="false" customHeight="false" outlineLevel="0" collapsed="false">
      <c r="A61" s="66"/>
      <c r="B61" s="10" t="s">
        <v>531</v>
      </c>
      <c r="C61" s="10" t="s">
        <v>532</v>
      </c>
      <c r="D61" s="10" t="s">
        <v>169</v>
      </c>
      <c r="E61" s="29" t="s">
        <v>533</v>
      </c>
      <c r="F61" s="10" t="s">
        <v>185</v>
      </c>
      <c r="G61" s="29" t="s">
        <v>534</v>
      </c>
      <c r="H61" s="29" t="s">
        <v>535</v>
      </c>
      <c r="I61" s="29" t="s">
        <v>363</v>
      </c>
      <c r="J61" s="10" t="s">
        <v>536</v>
      </c>
      <c r="K61" s="10" t="s">
        <v>190</v>
      </c>
      <c r="L61" s="10"/>
      <c r="M61" s="29" t="s">
        <v>537</v>
      </c>
    </row>
    <row r="62" customFormat="false" ht="15" hidden="false" customHeight="false" outlineLevel="0" collapsed="false">
      <c r="A62" s="66"/>
      <c r="B62" s="15" t="s">
        <v>538</v>
      </c>
      <c r="C62" s="32" t="str">
        <f aca="false">IFERROR(__xludf.dummyfunction("""COMPUTED_VALUE"""),"TEGUH PRIYADI")</f>
        <v>TEGUH PRIYADI</v>
      </c>
      <c r="D62" s="16" t="str">
        <f aca="false">IFERROR(__xludf.dummyfunction("""COMPUTED_VALUE"""),"Konsumen Lunas M +3")</f>
        <v>Konsumen Lunas M +3</v>
      </c>
      <c r="E62" s="18" t="s">
        <v>539</v>
      </c>
      <c r="F62" s="18" t="s">
        <v>177</v>
      </c>
      <c r="G62" s="18" t="s">
        <v>540</v>
      </c>
      <c r="H62" s="18" t="s">
        <v>541</v>
      </c>
      <c r="I62" s="18" t="s">
        <v>274</v>
      </c>
      <c r="J62" s="18" t="s">
        <v>542</v>
      </c>
      <c r="K62" s="18" t="s">
        <v>181</v>
      </c>
      <c r="L62" s="21" t="e">
        <f aca="false">VLOOKUP(B67,#REF!,5,0)</f>
        <v>#VALUE!</v>
      </c>
      <c r="M62" s="21" t="s">
        <v>543</v>
      </c>
    </row>
    <row r="63" customFormat="false" ht="15" hidden="false" customHeight="false" outlineLevel="0" collapsed="false">
      <c r="A63" s="24"/>
      <c r="B63" s="10" t="s">
        <v>544</v>
      </c>
      <c r="C63" s="10" t="s">
        <v>84</v>
      </c>
      <c r="D63" s="10" t="s">
        <v>169</v>
      </c>
      <c r="E63" s="10" t="s">
        <v>545</v>
      </c>
      <c r="F63" s="10" t="s">
        <v>177</v>
      </c>
      <c r="G63" s="10" t="s">
        <v>546</v>
      </c>
      <c r="H63" s="36" t="s">
        <v>547</v>
      </c>
      <c r="I63" s="36" t="s">
        <v>296</v>
      </c>
      <c r="J63" s="36" t="s">
        <v>180</v>
      </c>
      <c r="K63" s="10" t="s">
        <v>190</v>
      </c>
      <c r="L63" s="10"/>
      <c r="M63" s="36" t="s">
        <v>180</v>
      </c>
    </row>
    <row r="64" customFormat="false" ht="15" hidden="false" customHeight="false" outlineLevel="0" collapsed="false">
      <c r="A64" s="24"/>
      <c r="B64" s="39" t="s">
        <v>548</v>
      </c>
      <c r="C64" s="40" t="str">
        <f aca="false">IFERROR(__xludf.dummyfunction("""COMPUTED_VALUE"""),"SRI RAHAYU")</f>
        <v>SRI RAHAYU</v>
      </c>
      <c r="D64" s="40" t="str">
        <f aca="false">IFERROR(__xludf.dummyfunction("""COMPUTED_VALUE"""),"Uncontacted Telesales")</f>
        <v>Uncontacted Telesales</v>
      </c>
      <c r="E64" s="18" t="s">
        <v>549</v>
      </c>
      <c r="F64" s="18" t="s">
        <v>177</v>
      </c>
      <c r="G64" s="18" t="s">
        <v>550</v>
      </c>
      <c r="H64" s="18" t="s">
        <v>551</v>
      </c>
      <c r="I64" s="18" t="s">
        <v>296</v>
      </c>
      <c r="J64" s="18" t="s">
        <v>552</v>
      </c>
      <c r="K64" s="18" t="s">
        <v>190</v>
      </c>
      <c r="L64" s="21" t="e">
        <f aca="false">VLOOKUP(B70,#REF!,5,0)</f>
        <v>#VALUE!</v>
      </c>
      <c r="M64" s="21" t="n">
        <v>8895410261</v>
      </c>
    </row>
    <row r="65" customFormat="false" ht="15" hidden="false" customHeight="false" outlineLevel="0" collapsed="false">
      <c r="A65" s="24"/>
      <c r="B65" s="71" t="str">
        <f aca="false">IFERROR(__xludf.dummyfunction("""COMPUTED_VALUE"""),"1063120240704636")</f>
        <v>1063120240704636</v>
      </c>
      <c r="C65" s="10" t="str">
        <f aca="false">IFERROR(__xludf.dummyfunction("""COMPUTED_VALUE"""),"HERU KRISWANTONO")</f>
        <v>HERU KRISWANTONO</v>
      </c>
      <c r="D65" s="10" t="str">
        <f aca="false">IFERROR(__xludf.dummyfunction("""COMPUTED_VALUE"""),"Konfirmasi Pasangan|KONFIRMASI PASANGAN |9.780.000|23X676.000|4.130.000")</f>
        <v>Konfirmasi Pasangan|KONFIRMASI PASANGAN |9.780.000|23X676.000|4.130.000</v>
      </c>
      <c r="E65" s="19" t="s">
        <v>553</v>
      </c>
      <c r="F65" s="10" t="s">
        <v>185</v>
      </c>
      <c r="G65" s="19" t="s">
        <v>554</v>
      </c>
      <c r="H65" s="10" t="s">
        <v>555</v>
      </c>
      <c r="I65" s="10" t="s">
        <v>234</v>
      </c>
      <c r="J65" s="10" t="s">
        <v>556</v>
      </c>
      <c r="K65" s="10" t="s">
        <v>298</v>
      </c>
      <c r="L65" s="43" t="s">
        <v>208</v>
      </c>
      <c r="M65" s="78" t="n">
        <v>83865000154</v>
      </c>
    </row>
    <row r="66" customFormat="false" ht="15" hidden="false" customHeight="false" outlineLevel="0" collapsed="false">
      <c r="A66" s="24"/>
      <c r="B66" s="10" t="s">
        <v>557</v>
      </c>
      <c r="C66" s="10" t="s">
        <v>558</v>
      </c>
      <c r="D66" s="10" t="s">
        <v>169</v>
      </c>
      <c r="E66" s="10" t="s">
        <v>559</v>
      </c>
      <c r="F66" s="10" t="s">
        <v>177</v>
      </c>
      <c r="G66" s="10" t="s">
        <v>560</v>
      </c>
      <c r="H66" s="36" t="s">
        <v>561</v>
      </c>
      <c r="I66" s="36" t="s">
        <v>363</v>
      </c>
      <c r="J66" s="36" t="s">
        <v>180</v>
      </c>
      <c r="K66" s="36" t="s">
        <v>181</v>
      </c>
      <c r="L66" s="10"/>
      <c r="M66" s="10" t="s">
        <v>562</v>
      </c>
    </row>
    <row r="67" customFormat="false" ht="15" hidden="false" customHeight="false" outlineLevel="0" collapsed="false">
      <c r="A67" s="24"/>
      <c r="B67" s="71" t="s">
        <v>155</v>
      </c>
      <c r="C67" s="71" t="s">
        <v>156</v>
      </c>
      <c r="D67" s="10" t="s">
        <v>416</v>
      </c>
      <c r="E67" s="10" t="s">
        <v>563</v>
      </c>
      <c r="F67" s="10" t="s">
        <v>564</v>
      </c>
      <c r="G67" s="10" t="s">
        <v>565</v>
      </c>
      <c r="H67" s="36" t="s">
        <v>566</v>
      </c>
      <c r="I67" s="36" t="s">
        <v>253</v>
      </c>
      <c r="J67" s="44" t="s">
        <v>567</v>
      </c>
      <c r="K67" s="10" t="s">
        <v>181</v>
      </c>
      <c r="L67" s="10"/>
      <c r="M67" s="10" t="n">
        <v>87838540788</v>
      </c>
    </row>
    <row r="68" customFormat="false" ht="15" hidden="false" customHeight="false" outlineLevel="0" collapsed="false">
      <c r="A68" s="24"/>
      <c r="B68" s="10" t="s">
        <v>568</v>
      </c>
      <c r="C68" s="10" t="s">
        <v>569</v>
      </c>
      <c r="D68" s="10" t="s">
        <v>169</v>
      </c>
      <c r="E68" s="10" t="s">
        <v>570</v>
      </c>
      <c r="F68" s="10" t="s">
        <v>177</v>
      </c>
      <c r="G68" s="10" t="s">
        <v>571</v>
      </c>
      <c r="H68" s="36" t="s">
        <v>572</v>
      </c>
      <c r="I68" s="36" t="s">
        <v>325</v>
      </c>
      <c r="J68" s="36" t="s">
        <v>180</v>
      </c>
      <c r="K68" s="36" t="s">
        <v>181</v>
      </c>
      <c r="L68" s="10"/>
      <c r="M68" s="10" t="s">
        <v>573</v>
      </c>
    </row>
    <row r="69" customFormat="false" ht="15" hidden="false" customHeight="false" outlineLevel="0" collapsed="false">
      <c r="A69" s="24"/>
      <c r="B69" s="15" t="s">
        <v>574</v>
      </c>
      <c r="C69" s="32" t="str">
        <f aca="false">IFERROR(__xludf.dummyfunction("""COMPUTED_VALUE"""),"LAELI INDATUL ADAWIYAH")</f>
        <v>LAELI INDATUL ADAWIYAH</v>
      </c>
      <c r="D69" s="16" t="str">
        <f aca="false">IFERROR(__xludf.dummyfunction("""COMPUTED_VALUE"""),"Konsumen Lunas M +3")</f>
        <v>Konsumen Lunas M +3</v>
      </c>
      <c r="E69" s="18" t="s">
        <v>575</v>
      </c>
      <c r="F69" s="18" t="s">
        <v>185</v>
      </c>
      <c r="G69" s="18" t="s">
        <v>576</v>
      </c>
      <c r="H69" s="18" t="s">
        <v>577</v>
      </c>
      <c r="I69" s="18" t="s">
        <v>320</v>
      </c>
      <c r="J69" s="18" t="s">
        <v>578</v>
      </c>
      <c r="K69" s="18" t="n">
        <v>0</v>
      </c>
      <c r="L69" s="21" t="e">
        <f aca="false">VLOOKUP(B83,#REF!,5,0)</f>
        <v>#VALUE!</v>
      </c>
      <c r="M69" s="21" t="s">
        <v>579</v>
      </c>
    </row>
    <row r="70" customFormat="false" ht="15" hidden="false" customHeight="false" outlineLevel="0" collapsed="false">
      <c r="A70" s="24"/>
      <c r="B70" s="39" t="s">
        <v>580</v>
      </c>
      <c r="C70" s="40" t="str">
        <f aca="false">IFERROR(__xludf.dummyfunction("""COMPUTED_VALUE"""),"ISMULYONO")</f>
        <v>ISMULYONO</v>
      </c>
      <c r="D70" s="40" t="str">
        <f aca="false">IFERROR(__xludf.dummyfunction("""COMPUTED_VALUE"""),"Uncontacted Telesales")</f>
        <v>Uncontacted Telesales</v>
      </c>
      <c r="E70" s="19" t="s">
        <v>581</v>
      </c>
      <c r="F70" s="18" t="s">
        <v>185</v>
      </c>
      <c r="G70" s="19" t="s">
        <v>582</v>
      </c>
      <c r="H70" s="18" t="s">
        <v>583</v>
      </c>
      <c r="I70" s="18" t="s">
        <v>260</v>
      </c>
      <c r="J70" s="47" t="s">
        <v>584</v>
      </c>
      <c r="K70" s="18" t="s">
        <v>190</v>
      </c>
      <c r="L70" s="21" t="e">
        <f aca="false">VLOOKUP(B86,#REF!,5,0)</f>
        <v>#VALUE!</v>
      </c>
      <c r="M70" s="79" t="n">
        <v>89628103021</v>
      </c>
    </row>
    <row r="71" customFormat="false" ht="15" hidden="false" customHeight="false" outlineLevel="0" collapsed="false">
      <c r="A71" s="24"/>
      <c r="B71" s="71" t="str">
        <f aca="false">IFERROR(__xludf.dummyfunction("""COMPUTED_VALUE"""),"1063120240804682")</f>
        <v>1063120240804682</v>
      </c>
      <c r="C71" s="10" t="str">
        <f aca="false">IFERROR(__xludf.dummyfunction("""COMPUTED_VALUE"""),"SUDARSO")</f>
        <v>SUDARSO</v>
      </c>
      <c r="D71" s="10" t="str">
        <f aca="false">IFERROR(__xludf.dummyfunction("""COMPUTED_VALUE"""),"Pikir-Pikir|Interest Pikir-Pikir | | 9.200.000 | 11 | 1.126.000 | 9.200.000")</f>
        <v>Pikir-Pikir|Interest Pikir-Pikir | | 9.200.000 | 11 | 1.126.000 | 9.200.000</v>
      </c>
      <c r="E71" s="67" t="s">
        <v>585</v>
      </c>
      <c r="F71" s="10" t="s">
        <v>185</v>
      </c>
      <c r="G71" s="19" t="s">
        <v>586</v>
      </c>
      <c r="H71" s="10" t="s">
        <v>296</v>
      </c>
      <c r="I71" s="10" t="s">
        <v>296</v>
      </c>
      <c r="J71" s="61" t="s">
        <v>587</v>
      </c>
      <c r="K71" s="10" t="s">
        <v>190</v>
      </c>
      <c r="L71" s="43" t="s">
        <v>414</v>
      </c>
      <c r="M71" s="78" t="n">
        <v>87881343112</v>
      </c>
    </row>
    <row r="72" customFormat="false" ht="15" hidden="false" customHeight="false" outlineLevel="0" collapsed="false">
      <c r="A72" s="24"/>
      <c r="B72" s="60" t="s">
        <v>588</v>
      </c>
      <c r="C72" s="60" t="s">
        <v>589</v>
      </c>
      <c r="D72" s="60" t="s">
        <v>590</v>
      </c>
      <c r="E72" s="67" t="s">
        <v>591</v>
      </c>
      <c r="F72" s="10" t="s">
        <v>177</v>
      </c>
      <c r="G72" s="19" t="s">
        <v>592</v>
      </c>
      <c r="H72" s="10" t="s">
        <v>593</v>
      </c>
      <c r="I72" s="10" t="s">
        <v>377</v>
      </c>
      <c r="J72" s="61" t="s">
        <v>594</v>
      </c>
      <c r="K72" s="10" t="s">
        <v>190</v>
      </c>
      <c r="L72" s="43" t="e">
        <f aca="false">#N/A</f>
        <v>#N/A</v>
      </c>
      <c r="M72" s="78" t="n">
        <v>87831610478</v>
      </c>
    </row>
    <row r="73" customFormat="false" ht="15" hidden="false" customHeight="false" outlineLevel="0" collapsed="false">
      <c r="A73" s="24"/>
      <c r="B73" s="39" t="s">
        <v>595</v>
      </c>
      <c r="C73" s="40" t="str">
        <f aca="false">IFERROR(__xludf.dummyfunction("""COMPUTED_VALUE"""),"YAKUP")</f>
        <v>YAKUP</v>
      </c>
      <c r="D73" s="40" t="str">
        <f aca="false">IFERROR(__xludf.dummyfunction("""COMPUTED_VALUE"""),"Konsumen Aktif M 0 - 6 Lunas")</f>
        <v>Konsumen Aktif M 0 - 6 Lunas</v>
      </c>
      <c r="E73" s="19" t="s">
        <v>596</v>
      </c>
      <c r="F73" s="18" t="s">
        <v>185</v>
      </c>
      <c r="G73" s="19" t="s">
        <v>597</v>
      </c>
      <c r="H73" s="18" t="s">
        <v>350</v>
      </c>
      <c r="I73" s="18" t="s">
        <v>173</v>
      </c>
      <c r="J73" s="47" t="s">
        <v>598</v>
      </c>
      <c r="K73" s="67" t="s">
        <v>298</v>
      </c>
      <c r="L73" s="21" t="e">
        <f aca="false">VLOOKUP(B91,#REF!,5,0)</f>
        <v>#VALUE!</v>
      </c>
      <c r="M73" s="79" t="n">
        <v>82323839094</v>
      </c>
    </row>
    <row r="74" customFormat="false" ht="15" hidden="false" customHeight="false" outlineLevel="0" collapsed="false">
      <c r="A74" s="24"/>
      <c r="B74" s="10" t="s">
        <v>599</v>
      </c>
      <c r="C74" s="10" t="s">
        <v>600</v>
      </c>
      <c r="D74" s="10" t="s">
        <v>22</v>
      </c>
      <c r="E74" s="10" t="s">
        <v>601</v>
      </c>
      <c r="F74" s="10" t="s">
        <v>177</v>
      </c>
      <c r="G74" s="10" t="s">
        <v>602</v>
      </c>
      <c r="H74" s="10" t="s">
        <v>179</v>
      </c>
      <c r="I74" s="10" t="s">
        <v>173</v>
      </c>
      <c r="J74" s="10" t="s">
        <v>603</v>
      </c>
      <c r="K74" s="80" t="s">
        <v>181</v>
      </c>
      <c r="L74" s="10"/>
      <c r="M74" s="10" t="s">
        <v>604</v>
      </c>
    </row>
    <row r="75" customFormat="false" ht="15" hidden="false" customHeight="false" outlineLevel="0" collapsed="false">
      <c r="A75" s="24"/>
      <c r="B75" s="10" t="s">
        <v>605</v>
      </c>
      <c r="C75" s="10" t="s">
        <v>606</v>
      </c>
      <c r="D75" s="10" t="s">
        <v>22</v>
      </c>
      <c r="E75" s="10" t="s">
        <v>607</v>
      </c>
      <c r="F75" s="10" t="s">
        <v>185</v>
      </c>
      <c r="G75" s="10" t="s">
        <v>608</v>
      </c>
      <c r="H75" s="10" t="s">
        <v>609</v>
      </c>
      <c r="I75" s="10" t="s">
        <v>437</v>
      </c>
      <c r="J75" s="81" t="s">
        <v>610</v>
      </c>
      <c r="K75" s="80" t="s">
        <v>298</v>
      </c>
      <c r="L75" s="10"/>
      <c r="M75" s="10" t="s">
        <v>611</v>
      </c>
      <c r="N75" s="42"/>
    </row>
    <row r="76" customFormat="false" ht="15" hidden="false" customHeight="false" outlineLevel="0" collapsed="false">
      <c r="A76" s="24"/>
      <c r="B76" s="39" t="s">
        <v>612</v>
      </c>
      <c r="C76" s="40" t="str">
        <f aca="false">IFERROR(__xludf.dummyfunction("""COMPUTED_VALUE"""),"MISRU")</f>
        <v>MISRU</v>
      </c>
      <c r="D76" s="40" t="str">
        <f aca="false">IFERROR(__xludf.dummyfunction("""COMPUTED_VALUE"""),"Konsumen Aktif M 0 - 6 Lunas")</f>
        <v>Konsumen Aktif M 0 - 6 Lunas</v>
      </c>
      <c r="E76" s="18" t="s">
        <v>613</v>
      </c>
      <c r="F76" s="18" t="s">
        <v>177</v>
      </c>
      <c r="G76" s="18" t="s">
        <v>614</v>
      </c>
      <c r="H76" s="18" t="s">
        <v>615</v>
      </c>
      <c r="I76" s="18" t="s">
        <v>274</v>
      </c>
      <c r="J76" s="18" t="s">
        <v>616</v>
      </c>
      <c r="K76" s="18" t="s">
        <v>190</v>
      </c>
      <c r="L76" s="21" t="e">
        <f aca="false">VLOOKUP(B97,#REF!,5,0)</f>
        <v>#VALUE!</v>
      </c>
      <c r="M76" s="21" t="s">
        <v>617</v>
      </c>
      <c r="N76" s="42"/>
    </row>
    <row r="77" customFormat="false" ht="15" hidden="false" customHeight="false" outlineLevel="0" collapsed="false">
      <c r="A77" s="24"/>
      <c r="B77" s="39" t="s">
        <v>618</v>
      </c>
      <c r="C77" s="40" t="str">
        <f aca="false">IFERROR(__xludf.dummyfunction("""COMPUTED_VALUE"""),"Siswandi")</f>
        <v>Siswandi</v>
      </c>
      <c r="D77" s="40" t="str">
        <f aca="false">IFERROR(__xludf.dummyfunction("""COMPUTED_VALUE"""),"Uncontacted Telesales")</f>
        <v>Uncontacted Telesales</v>
      </c>
      <c r="E77" s="18" t="s">
        <v>619</v>
      </c>
      <c r="F77" s="18" t="s">
        <v>185</v>
      </c>
      <c r="G77" s="18" t="s">
        <v>620</v>
      </c>
      <c r="H77" s="18" t="s">
        <v>621</v>
      </c>
      <c r="I77" s="18" t="s">
        <v>19</v>
      </c>
      <c r="J77" s="18" t="s">
        <v>622</v>
      </c>
      <c r="K77" s="18" t="s">
        <v>298</v>
      </c>
      <c r="L77" s="21" t="e">
        <f aca="false">VLOOKUP(#REF!,#REF!,5,0)</f>
        <v>#VALUE!</v>
      </c>
      <c r="M77" s="21" t="n">
        <v>85540410002</v>
      </c>
      <c r="N77" s="42"/>
    </row>
    <row r="78" customFormat="false" ht="15" hidden="false" customHeight="false" outlineLevel="0" collapsed="false">
      <c r="A78" s="24"/>
      <c r="B78" s="39" t="s">
        <v>623</v>
      </c>
      <c r="C78" s="40" t="s">
        <v>624</v>
      </c>
      <c r="D78" s="40" t="s">
        <v>22</v>
      </c>
      <c r="E78" s="19" t="s">
        <v>625</v>
      </c>
      <c r="F78" s="10" t="s">
        <v>177</v>
      </c>
      <c r="G78" s="19" t="s">
        <v>626</v>
      </c>
      <c r="H78" s="10" t="s">
        <v>627</v>
      </c>
      <c r="I78" s="10" t="s">
        <v>306</v>
      </c>
      <c r="J78" s="61" t="s">
        <v>628</v>
      </c>
      <c r="K78" s="10" t="s">
        <v>190</v>
      </c>
      <c r="L78" s="43" t="s">
        <v>414</v>
      </c>
      <c r="M78" s="78" t="n">
        <v>83837093659</v>
      </c>
      <c r="N78" s="42"/>
    </row>
    <row r="79" customFormat="false" ht="15" hidden="false" customHeight="false" outlineLevel="0" collapsed="false">
      <c r="A79" s="24"/>
      <c r="B79" s="10" t="s">
        <v>629</v>
      </c>
      <c r="C79" s="10" t="s">
        <v>630</v>
      </c>
      <c r="D79" s="10" t="s">
        <v>22</v>
      </c>
      <c r="E79" s="10" t="s">
        <v>631</v>
      </c>
      <c r="F79" s="10" t="s">
        <v>177</v>
      </c>
      <c r="G79" s="10" t="s">
        <v>632</v>
      </c>
      <c r="H79" s="10" t="s">
        <v>633</v>
      </c>
      <c r="I79" s="10" t="s">
        <v>396</v>
      </c>
      <c r="J79" s="45" t="s">
        <v>634</v>
      </c>
      <c r="K79" s="10" t="s">
        <v>298</v>
      </c>
      <c r="L79" s="10"/>
      <c r="M79" s="10" t="s">
        <v>635</v>
      </c>
      <c r="N79" s="42"/>
    </row>
    <row r="80" customFormat="false" ht="15" hidden="false" customHeight="false" outlineLevel="0" collapsed="false">
      <c r="A80" s="24"/>
      <c r="B80" s="10" t="s">
        <v>636</v>
      </c>
      <c r="C80" s="10" t="s">
        <v>637</v>
      </c>
      <c r="D80" s="10" t="s">
        <v>638</v>
      </c>
      <c r="E80" s="18" t="s">
        <v>639</v>
      </c>
      <c r="F80" s="18" t="s">
        <v>185</v>
      </c>
      <c r="G80" s="18" t="s">
        <v>640</v>
      </c>
      <c r="H80" s="18" t="s">
        <v>641</v>
      </c>
      <c r="I80" s="18" t="s">
        <v>642</v>
      </c>
      <c r="J80" s="18" t="s">
        <v>643</v>
      </c>
      <c r="K80" s="18" t="s">
        <v>190</v>
      </c>
      <c r="L80" s="21" t="e">
        <f aca="false">VLOOKUP(#REF!,#REF!,5,0)</f>
        <v>#VALUE!</v>
      </c>
      <c r="M80" s="21" t="s">
        <v>644</v>
      </c>
      <c r="N80" s="42"/>
    </row>
    <row r="81" customFormat="false" ht="15" hidden="false" customHeight="false" outlineLevel="0" collapsed="false">
      <c r="A81" s="24"/>
      <c r="B81" s="46" t="s">
        <v>645</v>
      </c>
      <c r="C81" s="24" t="s">
        <v>168</v>
      </c>
      <c r="D81" s="46" t="s">
        <v>236</v>
      </c>
      <c r="E81" s="26" t="s">
        <v>646</v>
      </c>
      <c r="F81" s="26"/>
      <c r="G81" s="26" t="s">
        <v>647</v>
      </c>
      <c r="H81" s="26" t="s">
        <v>648</v>
      </c>
      <c r="I81" s="26" t="s">
        <v>173</v>
      </c>
      <c r="J81" s="47" t="s">
        <v>649</v>
      </c>
      <c r="K81" s="26"/>
      <c r="L81" s="28"/>
      <c r="M81" s="28" t="s">
        <v>650</v>
      </c>
      <c r="N81" s="42"/>
    </row>
    <row r="82" customFormat="false" ht="15" hidden="false" customHeight="false" outlineLevel="0" collapsed="false">
      <c r="A82" s="24"/>
      <c r="B82" s="39" t="s">
        <v>651</v>
      </c>
      <c r="C82" s="40" t="str">
        <f aca="false">IFERROR(__xludf.dummyfunction("""COMPUTED_VALUE"""),"Mugiyanto")</f>
        <v>Mugiyanto</v>
      </c>
      <c r="D82" s="40" t="str">
        <f aca="false">IFERROR(__xludf.dummyfunction("""COMPUTED_VALUE"""),"Uncontacted Telesales")</f>
        <v>Uncontacted Telesales</v>
      </c>
      <c r="E82" s="18" t="s">
        <v>652</v>
      </c>
      <c r="F82" s="18" t="s">
        <v>177</v>
      </c>
      <c r="G82" s="18" t="s">
        <v>653</v>
      </c>
      <c r="H82" s="18" t="s">
        <v>273</v>
      </c>
      <c r="I82" s="18" t="s">
        <v>274</v>
      </c>
      <c r="J82" s="18" t="s">
        <v>654</v>
      </c>
      <c r="K82" s="18" t="n">
        <v>0</v>
      </c>
      <c r="L82" s="21" t="e">
        <f aca="false">VLOOKUP(B106,#REF!,5,0)</f>
        <v>#VALUE!</v>
      </c>
      <c r="M82" s="21" t="s">
        <v>655</v>
      </c>
      <c r="N82" s="42"/>
    </row>
    <row r="83" customFormat="false" ht="15" hidden="false" customHeight="false" outlineLevel="0" collapsed="false">
      <c r="A83" s="24"/>
      <c r="B83" s="55" t="s">
        <v>656</v>
      </c>
      <c r="C83" s="24" t="s">
        <v>168</v>
      </c>
      <c r="D83" s="56" t="s">
        <v>22</v>
      </c>
      <c r="E83" s="26" t="s">
        <v>657</v>
      </c>
      <c r="F83" s="26" t="e">
        <f aca="false">#N/A</f>
        <v>#N/A</v>
      </c>
      <c r="G83" s="26" t="s">
        <v>658</v>
      </c>
      <c r="H83" s="26" t="s">
        <v>659</v>
      </c>
      <c r="I83" s="26" t="s">
        <v>501</v>
      </c>
      <c r="J83" s="48" t="s">
        <v>660</v>
      </c>
      <c r="K83" s="26"/>
      <c r="L83" s="28"/>
      <c r="M83" s="28" t="s">
        <v>661</v>
      </c>
      <c r="N83" s="42"/>
    </row>
    <row r="84" customFormat="false" ht="15" hidden="false" customHeight="false" outlineLevel="0" collapsed="false">
      <c r="A84" s="24"/>
      <c r="B84" s="39" t="s">
        <v>662</v>
      </c>
      <c r="C84" s="40" t="str">
        <f aca="false">IFERROR(__xludf.dummyfunction("""COMPUTED_VALUE"""),"AHMAD TASRIFIN")</f>
        <v>AHMAD TASRIFIN</v>
      </c>
      <c r="D84" s="40" t="str">
        <f aca="false">IFERROR(__xludf.dummyfunction("""COMPUTED_VALUE"""),"Konsumen Aktif M 0 - 6 Lunas")</f>
        <v>Konsumen Aktif M 0 - 6 Lunas</v>
      </c>
      <c r="E84" s="19" t="s">
        <v>663</v>
      </c>
      <c r="F84" s="18" t="s">
        <v>177</v>
      </c>
      <c r="G84" s="19" t="s">
        <v>664</v>
      </c>
      <c r="H84" s="18" t="s">
        <v>665</v>
      </c>
      <c r="I84" s="18" t="s">
        <v>666</v>
      </c>
      <c r="J84" s="47" t="s">
        <v>667</v>
      </c>
      <c r="K84" s="67" t="s">
        <v>190</v>
      </c>
      <c r="L84" s="21" t="e">
        <f aca="false">VLOOKUP(B108,#REF!,5,0)</f>
        <v>#VALUE!</v>
      </c>
      <c r="M84" s="79" t="n">
        <v>87833389461</v>
      </c>
      <c r="N84" s="42"/>
    </row>
    <row r="85" customFormat="false" ht="15" hidden="false" customHeight="false" outlineLevel="0" collapsed="false">
      <c r="A85" s="24"/>
      <c r="B85" s="39" t="s">
        <v>668</v>
      </c>
      <c r="C85" s="40" t="str">
        <f aca="false">IFERROR(__xludf.dummyfunction("""COMPUTED_VALUE"""),"Dodi")</f>
        <v>Dodi</v>
      </c>
      <c r="D85" s="40" t="str">
        <f aca="false">IFERROR(__xludf.dummyfunction("""COMPUTED_VALUE"""),"Uncontacted Telesales")</f>
        <v>Uncontacted Telesales</v>
      </c>
      <c r="E85" s="67" t="s">
        <v>669</v>
      </c>
      <c r="F85" s="18" t="s">
        <v>185</v>
      </c>
      <c r="G85" s="19" t="s">
        <v>670</v>
      </c>
      <c r="H85" s="18" t="s">
        <v>671</v>
      </c>
      <c r="I85" s="18" t="s">
        <v>253</v>
      </c>
      <c r="J85" s="47" t="s">
        <v>672</v>
      </c>
      <c r="K85" s="67" t="s">
        <v>181</v>
      </c>
      <c r="L85" s="21" t="e">
        <f aca="false">VLOOKUP(B111,#REF!,5,0)</f>
        <v>#VALUE!</v>
      </c>
      <c r="M85" s="79" t="n">
        <v>87734780103</v>
      </c>
      <c r="N85" s="42"/>
    </row>
    <row r="86" customFormat="false" ht="15" hidden="false" customHeight="false" outlineLevel="0" collapsed="false">
      <c r="A86" s="24"/>
      <c r="B86" s="24" t="s">
        <v>35</v>
      </c>
      <c r="C86" s="24" t="s">
        <v>36</v>
      </c>
      <c r="D86" s="24" t="s">
        <v>673</v>
      </c>
      <c r="E86" s="29" t="s">
        <v>674</v>
      </c>
      <c r="F86" s="29" t="e">
        <f aca="false">#N/A</f>
        <v>#N/A</v>
      </c>
      <c r="G86" s="29" t="s">
        <v>675</v>
      </c>
      <c r="H86" s="29" t="s">
        <v>676</v>
      </c>
      <c r="I86" s="29" t="s">
        <v>677</v>
      </c>
      <c r="J86" s="29" t="e">
        <f aca="false">#N/A</f>
        <v>#N/A</v>
      </c>
      <c r="K86" s="29" t="s">
        <v>181</v>
      </c>
      <c r="L86" s="29"/>
      <c r="M86" s="29" t="s">
        <v>678</v>
      </c>
      <c r="N86" s="42"/>
    </row>
    <row r="87" customFormat="false" ht="15" hidden="false" customHeight="false" outlineLevel="0" collapsed="false">
      <c r="A87" s="24"/>
      <c r="B87" s="10" t="s">
        <v>35</v>
      </c>
      <c r="C87" s="10" t="s">
        <v>36</v>
      </c>
      <c r="D87" s="10" t="s">
        <v>22</v>
      </c>
      <c r="E87" s="10" t="s">
        <v>674</v>
      </c>
      <c r="F87" s="10" t="s">
        <v>177</v>
      </c>
      <c r="G87" s="10" t="s">
        <v>675</v>
      </c>
      <c r="H87" s="10" t="s">
        <v>676</v>
      </c>
      <c r="I87" s="10" t="s">
        <v>677</v>
      </c>
      <c r="J87" s="44" t="s">
        <v>679</v>
      </c>
      <c r="K87" s="10" t="s">
        <v>181</v>
      </c>
      <c r="L87" s="10"/>
      <c r="M87" s="10" t="s">
        <v>678</v>
      </c>
      <c r="N87" s="42"/>
    </row>
    <row r="88" customFormat="false" ht="15" hidden="false" customHeight="false" outlineLevel="0" collapsed="false">
      <c r="A88" s="24"/>
      <c r="B88" s="15" t="s">
        <v>680</v>
      </c>
      <c r="C88" s="15" t="str">
        <f aca="false">IFERROR(__xludf.dummyfunction("""COMPUTED_VALUE"""),"NAILUL MAMLUAH")</f>
        <v>NAILUL MAMLUAH</v>
      </c>
      <c r="D88" s="16" t="str">
        <f aca="false">IFERROR(__xludf.dummyfunction("""COMPUTED_VALUE"""),"Konsumen Lunas M +3")</f>
        <v>Konsumen Lunas M +3</v>
      </c>
      <c r="E88" s="18" t="s">
        <v>681</v>
      </c>
      <c r="F88" s="18" t="s">
        <v>177</v>
      </c>
      <c r="G88" s="18" t="s">
        <v>682</v>
      </c>
      <c r="H88" s="18" t="s">
        <v>683</v>
      </c>
      <c r="I88" s="18" t="s">
        <v>363</v>
      </c>
      <c r="J88" s="18" t="s">
        <v>684</v>
      </c>
      <c r="K88" s="18" t="s">
        <v>190</v>
      </c>
      <c r="L88" s="21" t="e">
        <f aca="false">VLOOKUP(B116,#REF!,5,0)</f>
        <v>#VALUE!</v>
      </c>
      <c r="M88" s="21" t="n">
        <v>85931173856</v>
      </c>
      <c r="N88" s="42"/>
    </row>
    <row r="89" customFormat="false" ht="15" hidden="false" customHeight="false" outlineLevel="0" collapsed="false">
      <c r="A89" s="24"/>
      <c r="B89" s="24" t="s">
        <v>685</v>
      </c>
      <c r="C89" s="24" t="s">
        <v>686</v>
      </c>
      <c r="D89" s="24" t="s">
        <v>169</v>
      </c>
      <c r="E89" s="24" t="s">
        <v>687</v>
      </c>
      <c r="F89" s="29" t="e">
        <f aca="false">#N/A</f>
        <v>#N/A</v>
      </c>
      <c r="G89" s="24" t="s">
        <v>688</v>
      </c>
      <c r="H89" s="29" t="s">
        <v>689</v>
      </c>
      <c r="I89" s="29" t="s">
        <v>312</v>
      </c>
      <c r="J89" s="29" t="e">
        <f aca="false">#N/A</f>
        <v>#N/A</v>
      </c>
      <c r="K89" s="29" t="s">
        <v>181</v>
      </c>
      <c r="L89" s="29"/>
      <c r="M89" s="29" t="s">
        <v>690</v>
      </c>
      <c r="N89" s="42"/>
    </row>
    <row r="90" customFormat="false" ht="15" hidden="false" customHeight="false" outlineLevel="0" collapsed="false">
      <c r="A90" s="24"/>
      <c r="B90" s="39" t="s">
        <v>691</v>
      </c>
      <c r="C90" s="40" t="s">
        <v>692</v>
      </c>
      <c r="D90" s="40" t="s">
        <v>22</v>
      </c>
      <c r="E90" s="10" t="s">
        <v>693</v>
      </c>
      <c r="F90" s="10"/>
      <c r="G90" s="10" t="s">
        <v>694</v>
      </c>
      <c r="H90" s="10" t="s">
        <v>260</v>
      </c>
      <c r="I90" s="10" t="s">
        <v>260</v>
      </c>
      <c r="J90" s="10" t="s">
        <v>695</v>
      </c>
      <c r="K90" s="10"/>
      <c r="L90" s="43" t="s">
        <v>208</v>
      </c>
      <c r="M90" s="10" t="s">
        <v>696</v>
      </c>
      <c r="N90" s="42"/>
    </row>
    <row r="91" customFormat="false" ht="15" hidden="false" customHeight="false" outlineLevel="0" collapsed="false">
      <c r="A91" s="9" t="n">
        <v>46055</v>
      </c>
      <c r="B91" s="82" t="s">
        <v>697</v>
      </c>
      <c r="C91" s="65" t="str">
        <f aca="false">IFERROR(__xludf.dummyfunction("""COMPUTED_VALUE"""),"SUALI")</f>
        <v>SUALI</v>
      </c>
      <c r="D91" s="65" t="str">
        <f aca="false">IFERROR(__xludf.dummyfunction("""COMPUTED_VALUE"""),"Konsumen Aktif M 0 - 6 Lunas")</f>
        <v>Konsumen Aktif M 0 - 6 Lunas</v>
      </c>
      <c r="E91" s="33" t="s">
        <v>698</v>
      </c>
      <c r="F91" s="33" t="s">
        <v>177</v>
      </c>
      <c r="G91" s="33" t="s">
        <v>699</v>
      </c>
      <c r="H91" s="33" t="s">
        <v>700</v>
      </c>
      <c r="I91" s="33" t="s">
        <v>363</v>
      </c>
      <c r="J91" s="33" t="s">
        <v>701</v>
      </c>
      <c r="K91" s="33" t="s">
        <v>181</v>
      </c>
      <c r="L91" s="34" t="e">
        <f aca="false">VLOOKUP(B120,#REF!,5,0)</f>
        <v>#VALUE!</v>
      </c>
      <c r="M91" s="34" t="n">
        <v>85706315466</v>
      </c>
      <c r="N91" s="42"/>
    </row>
    <row r="92" customFormat="false" ht="15" hidden="false" customHeight="false" outlineLevel="0" collapsed="false">
      <c r="A92" s="24"/>
      <c r="B92" s="83" t="s">
        <v>702</v>
      </c>
      <c r="C92" s="66" t="s">
        <v>168</v>
      </c>
      <c r="D92" s="84" t="s">
        <v>169</v>
      </c>
      <c r="E92" s="51" t="s">
        <v>703</v>
      </c>
      <c r="F92" s="51" t="s">
        <v>250</v>
      </c>
      <c r="G92" s="51" t="s">
        <v>704</v>
      </c>
      <c r="H92" s="51" t="s">
        <v>188</v>
      </c>
      <c r="I92" s="51" t="s">
        <v>188</v>
      </c>
      <c r="J92" s="51" t="s">
        <v>705</v>
      </c>
      <c r="K92" s="51"/>
      <c r="L92" s="51"/>
      <c r="M92" s="51" t="s">
        <v>706</v>
      </c>
      <c r="N92" s="42"/>
    </row>
    <row r="93" customFormat="false" ht="15" hidden="false" customHeight="false" outlineLevel="0" collapsed="false">
      <c r="A93" s="24"/>
      <c r="B93" s="37" t="s">
        <v>37</v>
      </c>
      <c r="C93" s="37" t="s">
        <v>38</v>
      </c>
      <c r="D93" s="37" t="s">
        <v>22</v>
      </c>
      <c r="E93" s="38" t="s">
        <v>707</v>
      </c>
      <c r="F93" s="37" t="s">
        <v>177</v>
      </c>
      <c r="G93" s="38" t="s">
        <v>708</v>
      </c>
      <c r="H93" s="38" t="s">
        <v>709</v>
      </c>
      <c r="I93" s="38" t="s">
        <v>710</v>
      </c>
      <c r="J93" s="85" t="s">
        <v>711</v>
      </c>
      <c r="K93" s="86" t="s">
        <v>181</v>
      </c>
      <c r="L93" s="37"/>
      <c r="M93" s="38" t="s">
        <v>712</v>
      </c>
      <c r="N93" s="42"/>
    </row>
    <row r="94" customFormat="false" ht="15" hidden="false" customHeight="false" outlineLevel="0" collapsed="false">
      <c r="A94" s="24"/>
      <c r="B94" s="37" t="s">
        <v>39</v>
      </c>
      <c r="C94" s="37" t="s">
        <v>40</v>
      </c>
      <c r="D94" s="37" t="s">
        <v>22</v>
      </c>
      <c r="E94" s="87" t="s">
        <v>713</v>
      </c>
      <c r="F94" s="37" t="s">
        <v>177</v>
      </c>
      <c r="G94" s="38" t="s">
        <v>714</v>
      </c>
      <c r="H94" s="38" t="s">
        <v>715</v>
      </c>
      <c r="I94" s="38" t="s">
        <v>295</v>
      </c>
      <c r="J94" s="88" t="s">
        <v>716</v>
      </c>
      <c r="K94" s="37" t="s">
        <v>181</v>
      </c>
      <c r="L94" s="37"/>
      <c r="M94" s="38" t="s">
        <v>717</v>
      </c>
      <c r="N94" s="42"/>
    </row>
    <row r="95" customFormat="false" ht="15" hidden="false" customHeight="false" outlineLevel="0" collapsed="false">
      <c r="A95" s="24"/>
      <c r="B95" s="83" t="s">
        <v>718</v>
      </c>
      <c r="C95" s="66" t="s">
        <v>168</v>
      </c>
      <c r="D95" s="84" t="s">
        <v>169</v>
      </c>
      <c r="E95" s="51" t="s">
        <v>719</v>
      </c>
      <c r="F95" s="51" t="s">
        <v>250</v>
      </c>
      <c r="G95" s="51" t="s">
        <v>720</v>
      </c>
      <c r="H95" s="51" t="s">
        <v>721</v>
      </c>
      <c r="I95" s="51" t="s">
        <v>268</v>
      </c>
      <c r="J95" s="51" t="s">
        <v>722</v>
      </c>
      <c r="K95" s="51"/>
      <c r="L95" s="51"/>
      <c r="M95" s="51" t="s">
        <v>723</v>
      </c>
      <c r="N95" s="42"/>
    </row>
    <row r="96" customFormat="false" ht="15" hidden="false" customHeight="false" outlineLevel="0" collapsed="false">
      <c r="A96" s="24"/>
      <c r="B96" s="37" t="s">
        <v>41</v>
      </c>
      <c r="C96" s="37" t="s">
        <v>42</v>
      </c>
      <c r="D96" s="37" t="s">
        <v>22</v>
      </c>
      <c r="E96" s="12" t="s">
        <v>724</v>
      </c>
      <c r="F96" s="37" t="s">
        <v>177</v>
      </c>
      <c r="G96" s="37" t="s">
        <v>725</v>
      </c>
      <c r="H96" s="37" t="s">
        <v>726</v>
      </c>
      <c r="I96" s="37" t="s">
        <v>260</v>
      </c>
      <c r="J96" s="89" t="s">
        <v>727</v>
      </c>
      <c r="K96" s="86" t="s">
        <v>728</v>
      </c>
      <c r="L96" s="37"/>
      <c r="M96" s="37" t="s">
        <v>729</v>
      </c>
      <c r="N96" s="42"/>
    </row>
    <row r="97" customFormat="false" ht="15" hidden="false" customHeight="false" outlineLevel="0" collapsed="false">
      <c r="A97" s="24"/>
      <c r="B97" s="37" t="s">
        <v>730</v>
      </c>
      <c r="C97" s="37" t="s">
        <v>731</v>
      </c>
      <c r="D97" s="37" t="s">
        <v>169</v>
      </c>
      <c r="E97" s="37" t="s">
        <v>732</v>
      </c>
      <c r="F97" s="37" t="s">
        <v>177</v>
      </c>
      <c r="G97" s="37" t="s">
        <v>733</v>
      </c>
      <c r="H97" s="37" t="s">
        <v>734</v>
      </c>
      <c r="I97" s="37" t="s">
        <v>253</v>
      </c>
      <c r="J97" s="37" t="s">
        <v>735</v>
      </c>
      <c r="K97" s="58" t="s">
        <v>190</v>
      </c>
      <c r="L97" s="37"/>
      <c r="M97" s="37" t="s">
        <v>736</v>
      </c>
      <c r="N97" s="42"/>
    </row>
    <row r="98" customFormat="false" ht="15" hidden="false" customHeight="false" outlineLevel="0" collapsed="false">
      <c r="A98" s="24"/>
      <c r="B98" s="37" t="s">
        <v>737</v>
      </c>
      <c r="C98" s="37" t="s">
        <v>738</v>
      </c>
      <c r="D98" s="37" t="s">
        <v>169</v>
      </c>
      <c r="E98" s="37" t="s">
        <v>739</v>
      </c>
      <c r="F98" s="37" t="s">
        <v>177</v>
      </c>
      <c r="G98" s="37" t="s">
        <v>740</v>
      </c>
      <c r="H98" s="37" t="s">
        <v>741</v>
      </c>
      <c r="I98" s="37" t="s">
        <v>253</v>
      </c>
      <c r="J98" s="37" t="s">
        <v>742</v>
      </c>
      <c r="K98" s="37" t="s">
        <v>181</v>
      </c>
      <c r="L98" s="37"/>
      <c r="M98" s="37" t="s">
        <v>743</v>
      </c>
      <c r="N98" s="42"/>
    </row>
    <row r="99" customFormat="false" ht="15" hidden="false" customHeight="false" outlineLevel="0" collapsed="false">
      <c r="A99" s="24"/>
      <c r="B99" s="37" t="s">
        <v>43</v>
      </c>
      <c r="C99" s="37" t="s">
        <v>44</v>
      </c>
      <c r="D99" s="37" t="s">
        <v>22</v>
      </c>
      <c r="E99" s="37" t="s">
        <v>744</v>
      </c>
      <c r="F99" s="37" t="s">
        <v>177</v>
      </c>
      <c r="G99" s="37" t="s">
        <v>745</v>
      </c>
      <c r="H99" s="37" t="s">
        <v>746</v>
      </c>
      <c r="I99" s="37" t="s">
        <v>747</v>
      </c>
      <c r="J99" s="90" t="s">
        <v>180</v>
      </c>
      <c r="K99" s="37" t="s">
        <v>190</v>
      </c>
      <c r="L99" s="37"/>
      <c r="M99" s="37" t="s">
        <v>748</v>
      </c>
      <c r="N99" s="42"/>
    </row>
    <row r="100" customFormat="false" ht="15" hidden="false" customHeight="false" outlineLevel="0" collapsed="false">
      <c r="A100" s="24"/>
      <c r="B100" s="37" t="s">
        <v>749</v>
      </c>
      <c r="C100" s="37" t="s">
        <v>56</v>
      </c>
      <c r="D100" s="37" t="s">
        <v>22</v>
      </c>
      <c r="E100" s="12" t="s">
        <v>750</v>
      </c>
      <c r="F100" s="37" t="s">
        <v>177</v>
      </c>
      <c r="G100" s="37" t="s">
        <v>751</v>
      </c>
      <c r="H100" s="37" t="s">
        <v>465</v>
      </c>
      <c r="I100" s="37" t="s">
        <v>437</v>
      </c>
      <c r="J100" s="88" t="s">
        <v>752</v>
      </c>
      <c r="K100" s="86" t="s">
        <v>181</v>
      </c>
      <c r="L100" s="37"/>
      <c r="M100" s="37" t="s">
        <v>753</v>
      </c>
      <c r="N100" s="42"/>
    </row>
    <row r="101" customFormat="false" ht="15" hidden="false" customHeight="false" outlineLevel="0" collapsed="false">
      <c r="A101" s="24"/>
      <c r="B101" s="82" t="s">
        <v>754</v>
      </c>
      <c r="C101" s="65" t="str">
        <f aca="false">IFERROR(__xludf.dummyfunction("""COMPUTED_VALUE"""),"SUPRIADI")</f>
        <v>SUPRIADI</v>
      </c>
      <c r="D101" s="65" t="str">
        <f aca="false">IFERROR(__xludf.dummyfunction("""COMPUTED_VALUE"""),"Uncontacted Telesales")</f>
        <v>Uncontacted Telesales</v>
      </c>
      <c r="E101" s="33" t="s">
        <v>755</v>
      </c>
      <c r="F101" s="33" t="s">
        <v>177</v>
      </c>
      <c r="G101" s="33" t="s">
        <v>756</v>
      </c>
      <c r="H101" s="33" t="s">
        <v>555</v>
      </c>
      <c r="I101" s="33" t="s">
        <v>437</v>
      </c>
      <c r="J101" s="33" t="s">
        <v>757</v>
      </c>
      <c r="K101" s="33" t="s">
        <v>190</v>
      </c>
      <c r="L101" s="34" t="e">
        <f aca="false">VLOOKUP(B137,#REF!,5,0)</f>
        <v>#VALUE!</v>
      </c>
      <c r="M101" s="34" t="s">
        <v>758</v>
      </c>
      <c r="N101" s="42"/>
    </row>
    <row r="102" customFormat="false" ht="15" hidden="false" customHeight="false" outlineLevel="0" collapsed="false">
      <c r="A102" s="24"/>
      <c r="B102" s="72" t="s">
        <v>759</v>
      </c>
      <c r="C102" s="72" t="s">
        <v>760</v>
      </c>
      <c r="D102" s="37" t="s">
        <v>169</v>
      </c>
      <c r="E102" s="37" t="s">
        <v>761</v>
      </c>
      <c r="F102" s="37" t="s">
        <v>185</v>
      </c>
      <c r="G102" s="37" t="s">
        <v>762</v>
      </c>
      <c r="H102" s="37" t="s">
        <v>648</v>
      </c>
      <c r="I102" s="37" t="s">
        <v>172</v>
      </c>
      <c r="J102" s="37" t="s">
        <v>763</v>
      </c>
      <c r="K102" s="37" t="s">
        <v>181</v>
      </c>
      <c r="L102" s="37"/>
      <c r="M102" s="37" t="s">
        <v>764</v>
      </c>
      <c r="N102" s="42"/>
    </row>
    <row r="103" customFormat="false" ht="15" hidden="false" customHeight="false" outlineLevel="0" collapsed="false">
      <c r="A103" s="24"/>
      <c r="B103" s="37" t="s">
        <v>765</v>
      </c>
      <c r="C103" s="37" t="s">
        <v>766</v>
      </c>
      <c r="D103" s="37" t="s">
        <v>169</v>
      </c>
      <c r="E103" s="37" t="s">
        <v>767</v>
      </c>
      <c r="F103" s="37" t="s">
        <v>177</v>
      </c>
      <c r="G103" s="37" t="s">
        <v>768</v>
      </c>
      <c r="H103" s="37" t="s">
        <v>447</v>
      </c>
      <c r="I103" s="37" t="s">
        <v>677</v>
      </c>
      <c r="J103" s="88" t="s">
        <v>769</v>
      </c>
      <c r="K103" s="37" t="s">
        <v>190</v>
      </c>
      <c r="L103" s="37"/>
      <c r="M103" s="37" t="s">
        <v>770</v>
      </c>
      <c r="N103" s="42"/>
    </row>
    <row r="104" customFormat="false" ht="15" hidden="false" customHeight="false" outlineLevel="0" collapsed="false">
      <c r="A104" s="24"/>
      <c r="B104" s="82" t="s">
        <v>771</v>
      </c>
      <c r="C104" s="65" t="str">
        <f aca="false">IFERROR(__xludf.dummyfunction("""COMPUTED_VALUE"""),"SITI INWANA")</f>
        <v>SITI INWANA</v>
      </c>
      <c r="D104" s="65" t="str">
        <f aca="false">IFERROR(__xludf.dummyfunction("""COMPUTED_VALUE"""),"Konsumen Aktif M 0 - 6 Lunas")</f>
        <v>Konsumen Aktif M 0 - 6 Lunas</v>
      </c>
      <c r="E104" s="33" t="s">
        <v>772</v>
      </c>
      <c r="F104" s="33" t="s">
        <v>177</v>
      </c>
      <c r="G104" s="33" t="s">
        <v>773</v>
      </c>
      <c r="H104" s="33" t="s">
        <v>774</v>
      </c>
      <c r="I104" s="33" t="s">
        <v>253</v>
      </c>
      <c r="J104" s="33" t="s">
        <v>775</v>
      </c>
      <c r="K104" s="33" t="n">
        <v>0</v>
      </c>
      <c r="L104" s="34" t="e">
        <f aca="false">VLOOKUP(#REF!,#REF!,5,0)</f>
        <v>#VALUE!</v>
      </c>
      <c r="M104" s="34" t="s">
        <v>776</v>
      </c>
      <c r="N104" s="42"/>
    </row>
    <row r="105" customFormat="false" ht="15" hidden="false" customHeight="false" outlineLevel="0" collapsed="false">
      <c r="A105" s="40"/>
      <c r="B105" s="91" t="s">
        <v>777</v>
      </c>
      <c r="C105" s="91" t="str">
        <f aca="false">IFERROR(__xludf.dummyfunction("""COMPUTED_VALUE"""),"TURMUJI")</f>
        <v>TURMUJI</v>
      </c>
      <c r="D105" s="92" t="str">
        <f aca="false">IFERROR(__xludf.dummyfunction("""COMPUTED_VALUE"""),"Konsumen Lunas M +3")</f>
        <v>Konsumen Lunas M +3</v>
      </c>
      <c r="E105" s="33" t="s">
        <v>778</v>
      </c>
      <c r="F105" s="33" t="s">
        <v>177</v>
      </c>
      <c r="G105" s="33" t="s">
        <v>779</v>
      </c>
      <c r="H105" s="33" t="s">
        <v>780</v>
      </c>
      <c r="I105" s="33" t="s">
        <v>325</v>
      </c>
      <c r="J105" s="33" t="s">
        <v>781</v>
      </c>
      <c r="K105" s="33" t="n">
        <v>0</v>
      </c>
      <c r="L105" s="34" t="e">
        <f aca="false">VLOOKUP(#REF!,#REF!,5,0)</f>
        <v>#VALUE!</v>
      </c>
      <c r="M105" s="34" t="s">
        <v>782</v>
      </c>
      <c r="N105" s="42"/>
    </row>
    <row r="106" customFormat="false" ht="15" hidden="false" customHeight="false" outlineLevel="0" collapsed="false">
      <c r="A106" s="24"/>
      <c r="B106" s="37" t="s">
        <v>45</v>
      </c>
      <c r="C106" s="37" t="s">
        <v>46</v>
      </c>
      <c r="D106" s="37" t="s">
        <v>22</v>
      </c>
      <c r="E106" s="37" t="s">
        <v>783</v>
      </c>
      <c r="F106" s="37" t="s">
        <v>177</v>
      </c>
      <c r="G106" s="37" t="s">
        <v>784</v>
      </c>
      <c r="H106" s="37" t="s">
        <v>785</v>
      </c>
      <c r="I106" s="37" t="s">
        <v>295</v>
      </c>
      <c r="J106" s="88" t="s">
        <v>786</v>
      </c>
      <c r="K106" s="58" t="s">
        <v>181</v>
      </c>
      <c r="L106" s="37"/>
      <c r="M106" s="37" t="s">
        <v>787</v>
      </c>
      <c r="N106" s="42"/>
    </row>
    <row r="107" customFormat="false" ht="15" hidden="false" customHeight="false" outlineLevel="0" collapsed="false">
      <c r="A107" s="24"/>
      <c r="B107" s="70" t="s">
        <v>788</v>
      </c>
      <c r="C107" s="70" t="str">
        <f aca="false">IFERROR(__xludf.dummyfunction("""COMPUTED_VALUE"""),"IRWAN")</f>
        <v>IRWAN</v>
      </c>
      <c r="D107" s="92" t="str">
        <f aca="false">IFERROR(__xludf.dummyfunction("""COMPUTED_VALUE"""),"Konsumen Lunas M +3")</f>
        <v>Konsumen Lunas M +3</v>
      </c>
      <c r="E107" s="33" t="s">
        <v>789</v>
      </c>
      <c r="F107" s="33" t="s">
        <v>177</v>
      </c>
      <c r="G107" s="33" t="s">
        <v>790</v>
      </c>
      <c r="H107" s="33" t="s">
        <v>791</v>
      </c>
      <c r="I107" s="33" t="s">
        <v>240</v>
      </c>
      <c r="J107" s="33" t="s">
        <v>519</v>
      </c>
      <c r="K107" s="33" t="s">
        <v>181</v>
      </c>
      <c r="L107" s="34" t="e">
        <f aca="false">VLOOKUP(B149,#REF!,5,0)</f>
        <v>#VALUE!</v>
      </c>
      <c r="M107" s="34" t="s">
        <v>792</v>
      </c>
      <c r="N107" s="42"/>
    </row>
    <row r="108" customFormat="false" ht="15" hidden="false" customHeight="false" outlineLevel="0" collapsed="false">
      <c r="A108" s="24"/>
      <c r="B108" s="83" t="s">
        <v>793</v>
      </c>
      <c r="C108" s="66" t="s">
        <v>168</v>
      </c>
      <c r="D108" s="84" t="s">
        <v>169</v>
      </c>
      <c r="E108" s="51" t="s">
        <v>794</v>
      </c>
      <c r="F108" s="51" t="s">
        <v>250</v>
      </c>
      <c r="G108" s="51" t="s">
        <v>795</v>
      </c>
      <c r="H108" s="51" t="s">
        <v>796</v>
      </c>
      <c r="I108" s="51" t="s">
        <v>295</v>
      </c>
      <c r="J108" s="51" t="s">
        <v>797</v>
      </c>
      <c r="K108" s="51"/>
      <c r="L108" s="51"/>
      <c r="M108" s="51" t="s">
        <v>798</v>
      </c>
      <c r="N108" s="42"/>
    </row>
    <row r="109" customFormat="false" ht="15" hidden="false" customHeight="false" outlineLevel="0" collapsed="false">
      <c r="A109" s="24"/>
      <c r="B109" s="82" t="s">
        <v>799</v>
      </c>
      <c r="C109" s="65" t="str">
        <f aca="false">IFERROR(__xludf.dummyfunction("""COMPUTED_VALUE"""),"SUGET ES KURNIAWAN")</f>
        <v>SUGET ES KURNIAWAN</v>
      </c>
      <c r="D109" s="65" t="str">
        <f aca="false">IFERROR(__xludf.dummyfunction("""COMPUTED_VALUE"""),"Konsumen Aktif M 0 - 6 Lunas")</f>
        <v>Konsumen Aktif M 0 - 6 Lunas</v>
      </c>
      <c r="E109" s="33" t="s">
        <v>800</v>
      </c>
      <c r="F109" s="33" t="s">
        <v>177</v>
      </c>
      <c r="G109" s="33" t="s">
        <v>801</v>
      </c>
      <c r="H109" s="33" t="s">
        <v>280</v>
      </c>
      <c r="I109" s="33" t="s">
        <v>281</v>
      </c>
      <c r="J109" s="33" t="s">
        <v>802</v>
      </c>
      <c r="K109" s="33" t="n">
        <v>0</v>
      </c>
      <c r="L109" s="34" t="e">
        <f aca="false">VLOOKUP(#REF!,#REF!,5,0)</f>
        <v>#VALUE!</v>
      </c>
      <c r="M109" s="34" t="n">
        <v>85712499196</v>
      </c>
      <c r="N109" s="42"/>
    </row>
    <row r="110" customFormat="false" ht="15" hidden="false" customHeight="false" outlineLevel="0" collapsed="false">
      <c r="A110" s="66"/>
      <c r="B110" s="10" t="s">
        <v>799</v>
      </c>
      <c r="C110" s="10" t="s">
        <v>803</v>
      </c>
      <c r="D110" s="10" t="s">
        <v>169</v>
      </c>
      <c r="E110" s="10" t="s">
        <v>800</v>
      </c>
      <c r="F110" s="10" t="s">
        <v>177</v>
      </c>
      <c r="G110" s="10" t="s">
        <v>801</v>
      </c>
      <c r="H110" s="10" t="s">
        <v>280</v>
      </c>
      <c r="I110" s="10" t="s">
        <v>281</v>
      </c>
      <c r="J110" s="10" t="s">
        <v>802</v>
      </c>
      <c r="K110" s="10" t="s">
        <v>181</v>
      </c>
      <c r="L110" s="10"/>
      <c r="M110" s="10" t="n">
        <v>85712499196</v>
      </c>
      <c r="N110" s="42"/>
    </row>
    <row r="111" customFormat="false" ht="15" hidden="false" customHeight="false" outlineLevel="0" collapsed="false">
      <c r="A111" s="22"/>
      <c r="B111" s="82" t="s">
        <v>804</v>
      </c>
      <c r="C111" s="65" t="str">
        <f aca="false">IFERROR(__xludf.dummyfunction("""COMPUTED_VALUE"""),"HERU RUSIYANTO")</f>
        <v>HERU RUSIYANTO</v>
      </c>
      <c r="D111" s="65" t="str">
        <f aca="false">IFERROR(__xludf.dummyfunction("""COMPUTED_VALUE"""),"Konsumen Aktif M 0 - 6 Lunas")</f>
        <v>Konsumen Aktif M 0 - 6 Lunas</v>
      </c>
      <c r="E111" s="41" t="s">
        <v>805</v>
      </c>
      <c r="F111" s="33" t="s">
        <v>177</v>
      </c>
      <c r="G111" s="41" t="s">
        <v>806</v>
      </c>
      <c r="H111" s="33" t="s">
        <v>627</v>
      </c>
      <c r="I111" s="33" t="s">
        <v>306</v>
      </c>
      <c r="J111" s="27" t="s">
        <v>807</v>
      </c>
      <c r="K111" s="93" t="s">
        <v>190</v>
      </c>
      <c r="L111" s="34" t="e">
        <f aca="false">VLOOKUP(#REF!,#REF!,5,0)</f>
        <v>#VALUE!</v>
      </c>
      <c r="M111" s="94" t="n">
        <v>81996539334</v>
      </c>
      <c r="N111" s="42"/>
    </row>
    <row r="112" customFormat="false" ht="15" hidden="false" customHeight="false" outlineLevel="0" collapsed="false">
      <c r="A112" s="22"/>
      <c r="B112" s="37" t="s">
        <v>808</v>
      </c>
      <c r="C112" s="37" t="s">
        <v>809</v>
      </c>
      <c r="D112" s="37" t="s">
        <v>22</v>
      </c>
      <c r="E112" s="38" t="s">
        <v>810</v>
      </c>
      <c r="F112" s="37" t="s">
        <v>177</v>
      </c>
      <c r="G112" s="38" t="s">
        <v>811</v>
      </c>
      <c r="H112" s="38" t="s">
        <v>227</v>
      </c>
      <c r="I112" s="38" t="s">
        <v>234</v>
      </c>
      <c r="J112" s="90" t="s">
        <v>180</v>
      </c>
      <c r="K112" s="38" t="s">
        <v>298</v>
      </c>
      <c r="L112" s="37"/>
      <c r="M112" s="38" t="s">
        <v>812</v>
      </c>
      <c r="N112" s="42"/>
    </row>
    <row r="113" customFormat="false" ht="15" hidden="false" customHeight="false" outlineLevel="0" collapsed="false">
      <c r="B113" s="37" t="s">
        <v>813</v>
      </c>
      <c r="C113" s="37" t="s">
        <v>814</v>
      </c>
      <c r="D113" s="37" t="s">
        <v>169</v>
      </c>
      <c r="E113" s="37" t="s">
        <v>815</v>
      </c>
      <c r="F113" s="37" t="s">
        <v>185</v>
      </c>
      <c r="G113" s="37" t="s">
        <v>816</v>
      </c>
      <c r="H113" s="37" t="s">
        <v>465</v>
      </c>
      <c r="I113" s="37" t="s">
        <v>437</v>
      </c>
      <c r="J113" s="37" t="s">
        <v>817</v>
      </c>
      <c r="K113" s="37" t="s">
        <v>190</v>
      </c>
      <c r="L113" s="37"/>
      <c r="M113" s="37" t="n">
        <v>89510425695</v>
      </c>
      <c r="N113" s="42"/>
    </row>
    <row r="114" customFormat="false" ht="15" hidden="false" customHeight="false" outlineLevel="0" collapsed="false">
      <c r="A114" s="66"/>
      <c r="B114" s="82" t="s">
        <v>818</v>
      </c>
      <c r="C114" s="65" t="str">
        <f aca="false">IFERROR(__xludf.dummyfunction("""COMPUTED_VALUE"""),"WAHYU NUR FATONI")</f>
        <v>WAHYU NUR FATONI</v>
      </c>
      <c r="D114" s="65" t="str">
        <f aca="false">IFERROR(__xludf.dummyfunction("""COMPUTED_VALUE"""),"Uncontacted Telesales")</f>
        <v>Uncontacted Telesales</v>
      </c>
      <c r="E114" s="33" t="s">
        <v>819</v>
      </c>
      <c r="F114" s="33" t="s">
        <v>177</v>
      </c>
      <c r="G114" s="33" t="s">
        <v>820</v>
      </c>
      <c r="H114" s="33" t="s">
        <v>425</v>
      </c>
      <c r="I114" s="33" t="s">
        <v>296</v>
      </c>
      <c r="J114" s="33" t="s">
        <v>821</v>
      </c>
      <c r="K114" s="33" t="s">
        <v>190</v>
      </c>
      <c r="L114" s="34" t="e">
        <f aca="false">VLOOKUP(B158,#REF!,5,0)</f>
        <v>#VALUE!</v>
      </c>
      <c r="M114" s="34" t="n">
        <v>82229433466</v>
      </c>
      <c r="N114" s="42"/>
    </row>
    <row r="115" customFormat="false" ht="15" hidden="false" customHeight="false" outlineLevel="0" collapsed="false">
      <c r="A115" s="66"/>
      <c r="B115" s="82" t="s">
        <v>822</v>
      </c>
      <c r="C115" s="65" t="str">
        <f aca="false">IFERROR(__xludf.dummyfunction("""COMPUTED_VALUE"""),"SUTOMO")</f>
        <v>SUTOMO</v>
      </c>
      <c r="D115" s="65" t="str">
        <f aca="false">IFERROR(__xludf.dummyfunction("""COMPUTED_VALUE"""),"Konsumen Aktif M 0 - 6 Lunas")</f>
        <v>Konsumen Aktif M 0 - 6 Lunas</v>
      </c>
      <c r="E115" s="33" t="s">
        <v>823</v>
      </c>
      <c r="F115" s="33" t="s">
        <v>185</v>
      </c>
      <c r="G115" s="33" t="s">
        <v>824</v>
      </c>
      <c r="H115" s="33" t="s">
        <v>555</v>
      </c>
      <c r="I115" s="33" t="s">
        <v>437</v>
      </c>
      <c r="J115" s="33" t="s">
        <v>825</v>
      </c>
      <c r="K115" s="33" t="s">
        <v>190</v>
      </c>
      <c r="L115" s="34" t="e">
        <f aca="false">VLOOKUP(B160,#REF!,5,0)</f>
        <v>#VALUE!</v>
      </c>
      <c r="M115" s="34" t="s">
        <v>826</v>
      </c>
      <c r="N115" s="42"/>
    </row>
    <row r="116" customFormat="false" ht="15" hidden="false" customHeight="false" outlineLevel="0" collapsed="false">
      <c r="A116" s="66"/>
      <c r="B116" s="37" t="s">
        <v>47</v>
      </c>
      <c r="C116" s="37" t="s">
        <v>48</v>
      </c>
      <c r="D116" s="37" t="s">
        <v>22</v>
      </c>
      <c r="E116" s="87" t="s">
        <v>827</v>
      </c>
      <c r="F116" s="37" t="s">
        <v>177</v>
      </c>
      <c r="G116" s="38" t="s">
        <v>828</v>
      </c>
      <c r="H116" s="38" t="s">
        <v>547</v>
      </c>
      <c r="I116" s="38" t="s">
        <v>295</v>
      </c>
      <c r="J116" s="88" t="s">
        <v>829</v>
      </c>
      <c r="K116" s="38" t="s">
        <v>298</v>
      </c>
      <c r="L116" s="37"/>
      <c r="M116" s="38" t="s">
        <v>830</v>
      </c>
      <c r="N116" s="42"/>
    </row>
    <row r="117" customFormat="false" ht="15" hidden="false" customHeight="false" outlineLevel="0" collapsed="false">
      <c r="B117" s="37" t="s">
        <v>831</v>
      </c>
      <c r="C117" s="37" t="s">
        <v>102</v>
      </c>
      <c r="D117" s="37" t="s">
        <v>169</v>
      </c>
      <c r="E117" s="37" t="s">
        <v>832</v>
      </c>
      <c r="F117" s="37" t="s">
        <v>185</v>
      </c>
      <c r="G117" s="37" t="s">
        <v>833</v>
      </c>
      <c r="H117" s="37" t="s">
        <v>834</v>
      </c>
      <c r="I117" s="37" t="s">
        <v>260</v>
      </c>
      <c r="J117" s="37" t="s">
        <v>835</v>
      </c>
      <c r="K117" s="37" t="s">
        <v>190</v>
      </c>
      <c r="L117" s="37"/>
      <c r="M117" s="37" t="n">
        <v>85700526414</v>
      </c>
      <c r="N117" s="42"/>
    </row>
    <row r="118" customFormat="false" ht="15" hidden="false" customHeight="false" outlineLevel="0" collapsed="false">
      <c r="A118" s="66"/>
      <c r="B118" s="37" t="s">
        <v>49</v>
      </c>
      <c r="C118" s="37" t="s">
        <v>50</v>
      </c>
      <c r="D118" s="37" t="s">
        <v>22</v>
      </c>
      <c r="E118" s="38" t="s">
        <v>836</v>
      </c>
      <c r="F118" s="37" t="s">
        <v>177</v>
      </c>
      <c r="G118" s="38" t="s">
        <v>837</v>
      </c>
      <c r="H118" s="38" t="s">
        <v>838</v>
      </c>
      <c r="I118" s="38" t="s">
        <v>839</v>
      </c>
      <c r="J118" s="88" t="s">
        <v>840</v>
      </c>
      <c r="K118" s="95" t="s">
        <v>298</v>
      </c>
      <c r="L118" s="37"/>
      <c r="M118" s="38" t="s">
        <v>841</v>
      </c>
      <c r="N118" s="42"/>
    </row>
    <row r="119" customFormat="false" ht="15" hidden="false" customHeight="false" outlineLevel="0" collapsed="false">
      <c r="A119" s="66"/>
      <c r="B119" s="37" t="s">
        <v>51</v>
      </c>
      <c r="C119" s="37" t="s">
        <v>52</v>
      </c>
      <c r="D119" s="37" t="s">
        <v>22</v>
      </c>
      <c r="E119" s="38" t="s">
        <v>842</v>
      </c>
      <c r="F119" s="37" t="s">
        <v>177</v>
      </c>
      <c r="G119" s="38" t="s">
        <v>843</v>
      </c>
      <c r="H119" s="38" t="s">
        <v>844</v>
      </c>
      <c r="I119" s="38" t="s">
        <v>281</v>
      </c>
      <c r="J119" s="88" t="s">
        <v>845</v>
      </c>
      <c r="K119" s="38" t="s">
        <v>181</v>
      </c>
      <c r="L119" s="37"/>
      <c r="M119" s="38" t="s">
        <v>846</v>
      </c>
      <c r="N119" s="42"/>
    </row>
    <row r="120" customFormat="false" ht="15" hidden="false" customHeight="false" outlineLevel="0" collapsed="false">
      <c r="A120" s="66"/>
      <c r="B120" s="82" t="s">
        <v>847</v>
      </c>
      <c r="C120" s="65" t="str">
        <f aca="false">IFERROR(__xludf.dummyfunction("""COMPUTED_VALUE"""),"ASYHARUDDIN")</f>
        <v>ASYHARUDDIN</v>
      </c>
      <c r="D120" s="65" t="str">
        <f aca="false">IFERROR(__xludf.dummyfunction("""COMPUTED_VALUE"""),"Konsumen Aktif M 0 - 6 Lunas")</f>
        <v>Konsumen Aktif M 0 - 6 Lunas</v>
      </c>
      <c r="E120" s="33" t="s">
        <v>848</v>
      </c>
      <c r="F120" s="33" t="s">
        <v>177</v>
      </c>
      <c r="G120" s="33" t="s">
        <v>849</v>
      </c>
      <c r="H120" s="33" t="s">
        <v>577</v>
      </c>
      <c r="I120" s="33" t="s">
        <v>320</v>
      </c>
      <c r="J120" s="33" t="s">
        <v>850</v>
      </c>
      <c r="K120" s="33" t="s">
        <v>190</v>
      </c>
      <c r="L120" s="34" t="e">
        <f aca="false">VLOOKUP(#REF!,#REF!,5,0)</f>
        <v>#VALUE!</v>
      </c>
      <c r="M120" s="34" t="n">
        <v>81904448181</v>
      </c>
      <c r="N120" s="42"/>
    </row>
    <row r="121" customFormat="false" ht="15" hidden="false" customHeight="false" outlineLevel="0" collapsed="false">
      <c r="B121" s="37" t="s">
        <v>851</v>
      </c>
      <c r="C121" s="37" t="s">
        <v>852</v>
      </c>
      <c r="D121" s="37" t="s">
        <v>22</v>
      </c>
      <c r="E121" s="38" t="s">
        <v>853</v>
      </c>
      <c r="F121" s="37" t="s">
        <v>177</v>
      </c>
      <c r="G121" s="38" t="s">
        <v>854</v>
      </c>
      <c r="H121" s="38" t="s">
        <v>855</v>
      </c>
      <c r="I121" s="38" t="s">
        <v>710</v>
      </c>
      <c r="J121" s="90" t="s">
        <v>180</v>
      </c>
      <c r="K121" s="95" t="s">
        <v>190</v>
      </c>
      <c r="L121" s="37"/>
      <c r="M121" s="38" t="s">
        <v>856</v>
      </c>
      <c r="N121" s="42"/>
    </row>
    <row r="122" customFormat="false" ht="15" hidden="false" customHeight="false" outlineLevel="0" collapsed="false">
      <c r="A122" s="66"/>
      <c r="B122" s="82" t="s">
        <v>857</v>
      </c>
      <c r="C122" s="65" t="str">
        <f aca="false">IFERROR(__xludf.dummyfunction("""COMPUTED_VALUE"""),"RUWADI")</f>
        <v>RUWADI</v>
      </c>
      <c r="D122" s="65" t="str">
        <f aca="false">IFERROR(__xludf.dummyfunction("""COMPUTED_VALUE"""),"Konsumen Aktif M 0 - 6 Lunas")</f>
        <v>Konsumen Aktif M 0 - 6 Lunas</v>
      </c>
      <c r="E122" s="33" t="s">
        <v>858</v>
      </c>
      <c r="F122" s="33" t="s">
        <v>859</v>
      </c>
      <c r="G122" s="33" t="s">
        <v>860</v>
      </c>
      <c r="H122" s="33" t="s">
        <v>861</v>
      </c>
      <c r="I122" s="33" t="s">
        <v>666</v>
      </c>
      <c r="J122" s="33" t="s">
        <v>862</v>
      </c>
      <c r="K122" s="33" t="s">
        <v>190</v>
      </c>
      <c r="L122" s="34" t="e">
        <f aca="false">VLOOKUP(#REF!,#REF!,5,0)</f>
        <v>#VALUE!</v>
      </c>
      <c r="M122" s="34" t="n">
        <v>81215255564</v>
      </c>
      <c r="N122" s="42"/>
    </row>
    <row r="123" customFormat="false" ht="15" hidden="false" customHeight="false" outlineLevel="0" collapsed="false">
      <c r="A123" s="66"/>
      <c r="B123" s="37" t="s">
        <v>53</v>
      </c>
      <c r="C123" s="37" t="s">
        <v>54</v>
      </c>
      <c r="D123" s="37" t="s">
        <v>22</v>
      </c>
      <c r="E123" s="38" t="s">
        <v>863</v>
      </c>
      <c r="F123" s="37" t="s">
        <v>177</v>
      </c>
      <c r="G123" s="38" t="s">
        <v>864</v>
      </c>
      <c r="H123" s="38" t="s">
        <v>865</v>
      </c>
      <c r="I123" s="38" t="s">
        <v>240</v>
      </c>
      <c r="J123" s="89" t="s">
        <v>866</v>
      </c>
      <c r="K123" s="95" t="s">
        <v>181</v>
      </c>
      <c r="L123" s="37"/>
      <c r="M123" s="38" t="s">
        <v>867</v>
      </c>
      <c r="N123" s="42"/>
    </row>
    <row r="124" customFormat="false" ht="15" hidden="false" customHeight="false" outlineLevel="0" collapsed="false">
      <c r="B124" s="37" t="s">
        <v>868</v>
      </c>
      <c r="C124" s="37" t="s">
        <v>869</v>
      </c>
      <c r="D124" s="37" t="s">
        <v>169</v>
      </c>
      <c r="E124" s="38" t="s">
        <v>870</v>
      </c>
      <c r="F124" s="37" t="s">
        <v>177</v>
      </c>
      <c r="G124" s="38" t="s">
        <v>871</v>
      </c>
      <c r="H124" s="38" t="s">
        <v>872</v>
      </c>
      <c r="I124" s="38" t="s">
        <v>253</v>
      </c>
      <c r="J124" s="37" t="s">
        <v>873</v>
      </c>
      <c r="K124" s="38" t="s">
        <v>181</v>
      </c>
      <c r="L124" s="37"/>
      <c r="M124" s="38" t="n">
        <v>87802572459</v>
      </c>
      <c r="N124" s="42"/>
    </row>
    <row r="125" customFormat="false" ht="15" hidden="false" customHeight="false" outlineLevel="0" collapsed="false">
      <c r="A125" s="66"/>
      <c r="B125" s="70" t="s">
        <v>874</v>
      </c>
      <c r="C125" s="70" t="str">
        <f aca="false">IFERROR(__xludf.dummyfunction("""COMPUTED_VALUE"""),"SUGENG LISTIAWAN")</f>
        <v>SUGENG LISTIAWAN</v>
      </c>
      <c r="D125" s="92" t="str">
        <f aca="false">IFERROR(__xludf.dummyfunction("""COMPUTED_VALUE"""),"Konsumen Lunas M +3")</f>
        <v>Konsumen Lunas M +3</v>
      </c>
      <c r="E125" s="33" t="s">
        <v>875</v>
      </c>
      <c r="F125" s="33" t="s">
        <v>177</v>
      </c>
      <c r="G125" s="33" t="s">
        <v>876</v>
      </c>
      <c r="H125" s="33" t="s">
        <v>877</v>
      </c>
      <c r="I125" s="33" t="s">
        <v>281</v>
      </c>
      <c r="J125" s="33" t="s">
        <v>878</v>
      </c>
      <c r="K125" s="33" t="n">
        <v>0</v>
      </c>
      <c r="L125" s="34" t="e">
        <f aca="false">VLOOKUP(#REF!,#REF!,5,0)</f>
        <v>#VALUE!</v>
      </c>
      <c r="M125" s="34" t="s">
        <v>879</v>
      </c>
      <c r="N125" s="42"/>
    </row>
    <row r="126" customFormat="false" ht="15" hidden="false" customHeight="false" outlineLevel="0" collapsed="false">
      <c r="B126" s="10" t="s">
        <v>880</v>
      </c>
      <c r="C126" s="10" t="s">
        <v>881</v>
      </c>
      <c r="D126" s="10" t="s">
        <v>22</v>
      </c>
      <c r="E126" s="38" t="s">
        <v>882</v>
      </c>
      <c r="F126" s="96" t="s">
        <v>177</v>
      </c>
      <c r="G126" s="29" t="s">
        <v>883</v>
      </c>
      <c r="H126" s="29" t="s">
        <v>492</v>
      </c>
      <c r="I126" s="29" t="s">
        <v>19</v>
      </c>
      <c r="J126" s="10" t="s">
        <v>884</v>
      </c>
      <c r="K126" s="29" t="s">
        <v>190</v>
      </c>
      <c r="L126" s="10"/>
      <c r="M126" s="29" t="s">
        <v>885</v>
      </c>
      <c r="N126" s="42"/>
    </row>
    <row r="127" customFormat="false" ht="15" hidden="false" customHeight="false" outlineLevel="0" collapsed="false">
      <c r="A127" s="66"/>
      <c r="B127" s="10" t="s">
        <v>67</v>
      </c>
      <c r="C127" s="10" t="s">
        <v>68</v>
      </c>
      <c r="D127" s="10" t="s">
        <v>886</v>
      </c>
      <c r="E127" s="93" t="s">
        <v>887</v>
      </c>
      <c r="F127" s="97" t="s">
        <v>177</v>
      </c>
      <c r="G127" s="19" t="s">
        <v>888</v>
      </c>
      <c r="H127" s="18" t="s">
        <v>659</v>
      </c>
      <c r="I127" s="18" t="s">
        <v>501</v>
      </c>
      <c r="J127" s="47" t="s">
        <v>889</v>
      </c>
      <c r="K127" s="67" t="s">
        <v>181</v>
      </c>
      <c r="L127" s="21" t="e">
        <f aca="false">VLOOKUP(#REF!,#REF!,5,0)</f>
        <v>#VALUE!</v>
      </c>
      <c r="M127" s="21" t="s">
        <v>890</v>
      </c>
      <c r="N127" s="42"/>
    </row>
    <row r="128" customFormat="false" ht="15" hidden="false" customHeight="false" outlineLevel="0" collapsed="false">
      <c r="A128" s="66"/>
      <c r="B128" s="10" t="s">
        <v>891</v>
      </c>
      <c r="C128" s="10" t="s">
        <v>892</v>
      </c>
      <c r="D128" s="10" t="s">
        <v>169</v>
      </c>
      <c r="E128" s="38" t="s">
        <v>893</v>
      </c>
      <c r="F128" s="96" t="s">
        <v>177</v>
      </c>
      <c r="G128" s="29" t="s">
        <v>894</v>
      </c>
      <c r="H128" s="29" t="s">
        <v>895</v>
      </c>
      <c r="I128" s="29" t="s">
        <v>240</v>
      </c>
      <c r="J128" s="44" t="s">
        <v>896</v>
      </c>
      <c r="K128" s="10" t="s">
        <v>181</v>
      </c>
      <c r="L128" s="10"/>
      <c r="M128" s="29" t="s">
        <v>897</v>
      </c>
    </row>
    <row r="129" customFormat="false" ht="15" hidden="false" customHeight="false" outlineLevel="0" collapsed="false">
      <c r="A129" s="66"/>
      <c r="B129" s="39" t="s">
        <v>898</v>
      </c>
      <c r="C129" s="40" t="str">
        <f aca="false">IFERROR(__xludf.dummyfunction("""COMPUTED_VALUE"""),"WACHIDUN")</f>
        <v>WACHIDUN</v>
      </c>
      <c r="D129" s="40" t="str">
        <f aca="false">IFERROR(__xludf.dummyfunction("""COMPUTED_VALUE"""),"Konsumen Aktif M 0 - 6 Lunas")</f>
        <v>Konsumen Aktif M 0 - 6 Lunas</v>
      </c>
      <c r="E129" s="18" t="s">
        <v>899</v>
      </c>
      <c r="F129" s="18" t="s">
        <v>177</v>
      </c>
      <c r="G129" s="98" t="s">
        <v>900</v>
      </c>
      <c r="H129" s="98" t="s">
        <v>901</v>
      </c>
      <c r="I129" s="98" t="s">
        <v>306</v>
      </c>
      <c r="J129" s="98" t="s">
        <v>902</v>
      </c>
      <c r="K129" s="98" t="n">
        <v>0</v>
      </c>
      <c r="L129" s="99" t="e">
        <f aca="false">VLOOKUP(#REF!,#REF!,5,0)</f>
        <v>#VALUE!</v>
      </c>
      <c r="M129" s="99" t="s">
        <v>903</v>
      </c>
    </row>
    <row r="130" customFormat="false" ht="15" hidden="false" customHeight="false" outlineLevel="0" collapsed="false">
      <c r="A130" s="66"/>
      <c r="B130" s="10" t="s">
        <v>904</v>
      </c>
      <c r="C130" s="10" t="s">
        <v>905</v>
      </c>
      <c r="D130" s="10" t="s">
        <v>22</v>
      </c>
      <c r="E130" s="10" t="s">
        <v>906</v>
      </c>
      <c r="F130" s="10" t="s">
        <v>177</v>
      </c>
      <c r="G130" s="10" t="s">
        <v>907</v>
      </c>
      <c r="H130" s="29" t="s">
        <v>908</v>
      </c>
      <c r="I130" s="29" t="s">
        <v>312</v>
      </c>
      <c r="J130" s="100" t="s">
        <v>909</v>
      </c>
      <c r="K130" s="80" t="s">
        <v>181</v>
      </c>
      <c r="L130" s="10"/>
      <c r="M130" s="10" t="s">
        <v>910</v>
      </c>
    </row>
    <row r="131" customFormat="false" ht="15" hidden="false" customHeight="false" outlineLevel="0" collapsed="false">
      <c r="A131" s="66"/>
      <c r="B131" s="39" t="s">
        <v>911</v>
      </c>
      <c r="C131" s="40" t="str">
        <f aca="false">IFERROR(__xludf.dummyfunction("""COMPUTED_VALUE"""),"HADWI")</f>
        <v>HADWI</v>
      </c>
      <c r="D131" s="40" t="str">
        <f aca="false">IFERROR(__xludf.dummyfunction("""COMPUTED_VALUE"""),"Konsumen Aktif M 0 - 6 Lunas")</f>
        <v>Konsumen Aktif M 0 - 6 Lunas</v>
      </c>
      <c r="E131" s="18" t="s">
        <v>912</v>
      </c>
      <c r="F131" s="18" t="s">
        <v>177</v>
      </c>
      <c r="G131" s="18" t="s">
        <v>913</v>
      </c>
      <c r="H131" s="18" t="s">
        <v>914</v>
      </c>
      <c r="I131" s="18" t="s">
        <v>501</v>
      </c>
      <c r="J131" s="18" t="s">
        <v>915</v>
      </c>
      <c r="K131" s="18" t="s">
        <v>181</v>
      </c>
      <c r="L131" s="21" t="e">
        <f aca="false">VLOOKUP(B189,#REF!,5,0)</f>
        <v>#VALUE!</v>
      </c>
      <c r="M131" s="21" t="s">
        <v>916</v>
      </c>
    </row>
    <row r="132" customFormat="false" ht="15" hidden="false" customHeight="false" outlineLevel="0" collapsed="false">
      <c r="A132" s="66"/>
      <c r="B132" s="10" t="s">
        <v>917</v>
      </c>
      <c r="C132" s="10" t="s">
        <v>918</v>
      </c>
      <c r="D132" s="10" t="s">
        <v>302</v>
      </c>
      <c r="E132" s="37" t="s">
        <v>919</v>
      </c>
      <c r="F132" s="10" t="s">
        <v>177</v>
      </c>
      <c r="G132" s="10" t="s">
        <v>920</v>
      </c>
      <c r="H132" s="10" t="s">
        <v>921</v>
      </c>
      <c r="I132" s="10" t="s">
        <v>325</v>
      </c>
      <c r="J132" s="36" t="s">
        <v>180</v>
      </c>
      <c r="K132" s="10" t="s">
        <v>181</v>
      </c>
      <c r="L132" s="10"/>
      <c r="M132" s="10" t="s">
        <v>922</v>
      </c>
    </row>
    <row r="133" customFormat="false" ht="15" hidden="false" customHeight="false" outlineLevel="0" collapsed="false">
      <c r="A133" s="66"/>
      <c r="B133" s="24" t="s">
        <v>923</v>
      </c>
      <c r="C133" s="22" t="s">
        <v>924</v>
      </c>
      <c r="D133" s="22" t="s">
        <v>673</v>
      </c>
      <c r="E133" s="29" t="s">
        <v>925</v>
      </c>
      <c r="F133" s="29" t="e">
        <f aca="false">#N/A</f>
        <v>#N/A</v>
      </c>
      <c r="G133" s="29" t="s">
        <v>926</v>
      </c>
      <c r="H133" s="29" t="s">
        <v>927</v>
      </c>
      <c r="I133" s="29" t="s">
        <v>288</v>
      </c>
      <c r="J133" s="101" t="e">
        <f aca="false">#N/A</f>
        <v>#N/A</v>
      </c>
      <c r="K133" s="29" t="s">
        <v>181</v>
      </c>
      <c r="L133" s="29"/>
      <c r="M133" s="29" t="s">
        <v>928</v>
      </c>
    </row>
    <row r="134" customFormat="false" ht="15" hidden="false" customHeight="false" outlineLevel="0" collapsed="false">
      <c r="A134" s="66"/>
      <c r="B134" s="39" t="s">
        <v>929</v>
      </c>
      <c r="C134" s="40" t="str">
        <f aca="false">IFERROR(__xludf.dummyfunction("""COMPUTED_VALUE"""),"Umar khalil")</f>
        <v>Umar khalil</v>
      </c>
      <c r="D134" s="40" t="str">
        <f aca="false">IFERROR(__xludf.dummyfunction("""COMPUTED_VALUE"""),"Uncontacted Telesales")</f>
        <v>Uncontacted Telesales</v>
      </c>
      <c r="E134" s="18" t="s">
        <v>930</v>
      </c>
      <c r="F134" s="18" t="s">
        <v>177</v>
      </c>
      <c r="G134" s="18" t="s">
        <v>931</v>
      </c>
      <c r="H134" s="18" t="s">
        <v>932</v>
      </c>
      <c r="I134" s="18" t="s">
        <v>19</v>
      </c>
      <c r="J134" s="18" t="s">
        <v>933</v>
      </c>
      <c r="K134" s="18" t="s">
        <v>181</v>
      </c>
      <c r="L134" s="21" t="e">
        <f aca="false">VLOOKUP(B197,#REF!,5,0)</f>
        <v>#VALUE!</v>
      </c>
      <c r="M134" s="21" t="s">
        <v>934</v>
      </c>
    </row>
    <row r="135" customFormat="false" ht="15" hidden="false" customHeight="false" outlineLevel="0" collapsed="false">
      <c r="A135" s="66"/>
      <c r="B135" s="10" t="s">
        <v>935</v>
      </c>
      <c r="C135" s="10" t="s">
        <v>936</v>
      </c>
      <c r="D135" s="10" t="s">
        <v>169</v>
      </c>
      <c r="E135" s="29" t="s">
        <v>937</v>
      </c>
      <c r="F135" s="10" t="s">
        <v>177</v>
      </c>
      <c r="G135" s="29" t="s">
        <v>938</v>
      </c>
      <c r="H135" s="29" t="s">
        <v>939</v>
      </c>
      <c r="I135" s="29" t="s">
        <v>288</v>
      </c>
      <c r="J135" s="88" t="s">
        <v>940</v>
      </c>
      <c r="K135" s="10" t="s">
        <v>181</v>
      </c>
      <c r="L135" s="10"/>
      <c r="M135" s="29" t="s">
        <v>941</v>
      </c>
    </row>
    <row r="136" customFormat="false" ht="15" hidden="false" customHeight="false" outlineLevel="0" collapsed="false">
      <c r="B136" s="10" t="s">
        <v>942</v>
      </c>
      <c r="C136" s="10" t="s">
        <v>943</v>
      </c>
      <c r="D136" s="10" t="s">
        <v>22</v>
      </c>
      <c r="E136" s="37" t="s">
        <v>944</v>
      </c>
      <c r="F136" s="96" t="s">
        <v>177</v>
      </c>
      <c r="G136" s="10" t="s">
        <v>945</v>
      </c>
      <c r="H136" s="10" t="s">
        <v>946</v>
      </c>
      <c r="I136" s="10" t="s">
        <v>710</v>
      </c>
      <c r="J136" s="102" t="s">
        <v>947</v>
      </c>
      <c r="K136" s="80" t="s">
        <v>298</v>
      </c>
      <c r="L136" s="10"/>
      <c r="M136" s="10" t="s">
        <v>948</v>
      </c>
    </row>
    <row r="137" customFormat="false" ht="15" hidden="false" customHeight="false" outlineLevel="0" collapsed="false">
      <c r="A137" s="66"/>
      <c r="B137" s="10" t="s">
        <v>73</v>
      </c>
      <c r="C137" s="10" t="s">
        <v>74</v>
      </c>
      <c r="D137" s="10" t="s">
        <v>22</v>
      </c>
      <c r="E137" s="12" t="s">
        <v>949</v>
      </c>
      <c r="F137" s="96" t="s">
        <v>177</v>
      </c>
      <c r="G137" s="10" t="s">
        <v>950</v>
      </c>
      <c r="H137" s="10" t="s">
        <v>951</v>
      </c>
      <c r="I137" s="10" t="s">
        <v>952</v>
      </c>
      <c r="J137" s="44" t="s">
        <v>953</v>
      </c>
      <c r="K137" s="10" t="s">
        <v>190</v>
      </c>
      <c r="L137" s="10"/>
      <c r="M137" s="10" t="s">
        <v>954</v>
      </c>
    </row>
    <row r="138" customFormat="false" ht="15" hidden="false" customHeight="false" outlineLevel="0" collapsed="false">
      <c r="A138" s="66"/>
      <c r="B138" s="15" t="s">
        <v>955</v>
      </c>
      <c r="C138" s="15" t="str">
        <f aca="false">IFERROR(__xludf.dummyfunction("""COMPUTED_VALUE"""),"SITI FATIMAH")</f>
        <v>SITI FATIMAH</v>
      </c>
      <c r="D138" s="16" t="str">
        <f aca="false">IFERROR(__xludf.dummyfunction("""COMPUTED_VALUE"""),"Konsumen Lunas M +3")</f>
        <v>Konsumen Lunas M +3</v>
      </c>
      <c r="E138" s="33" t="s">
        <v>956</v>
      </c>
      <c r="F138" s="97" t="s">
        <v>177</v>
      </c>
      <c r="G138" s="18" t="s">
        <v>957</v>
      </c>
      <c r="H138" s="18" t="s">
        <v>958</v>
      </c>
      <c r="I138" s="18" t="s">
        <v>958</v>
      </c>
      <c r="J138" s="18" t="s">
        <v>959</v>
      </c>
      <c r="K138" s="18" t="s">
        <v>190</v>
      </c>
      <c r="L138" s="21" t="e">
        <f aca="false">VLOOKUP(B212,#REF!,5,0)</f>
        <v>#VALUE!</v>
      </c>
      <c r="M138" s="21" t="n">
        <v>87843251780</v>
      </c>
    </row>
    <row r="139" customFormat="false" ht="15" hidden="false" customHeight="false" outlineLevel="0" collapsed="false">
      <c r="A139" s="66"/>
      <c r="B139" s="55" t="s">
        <v>960</v>
      </c>
      <c r="C139" s="22" t="s">
        <v>168</v>
      </c>
      <c r="D139" s="56" t="s">
        <v>22</v>
      </c>
      <c r="E139" s="51" t="s">
        <v>961</v>
      </c>
      <c r="F139" s="103" t="e">
        <f aca="false">#N/A</f>
        <v>#N/A</v>
      </c>
      <c r="G139" s="26" t="s">
        <v>962</v>
      </c>
      <c r="H139" s="26" t="s">
        <v>201</v>
      </c>
      <c r="I139" s="26" t="s">
        <v>173</v>
      </c>
      <c r="J139" s="47" t="s">
        <v>963</v>
      </c>
      <c r="K139" s="26"/>
      <c r="L139" s="28"/>
      <c r="M139" s="28" t="n">
        <v>82328225543</v>
      </c>
    </row>
    <row r="140" customFormat="false" ht="15" hidden="false" customHeight="false" outlineLevel="0" collapsed="false">
      <c r="B140" s="10" t="s">
        <v>75</v>
      </c>
      <c r="C140" s="10" t="s">
        <v>76</v>
      </c>
      <c r="D140" s="10" t="s">
        <v>22</v>
      </c>
      <c r="E140" s="37" t="s">
        <v>964</v>
      </c>
      <c r="F140" s="96" t="s">
        <v>177</v>
      </c>
      <c r="G140" s="10" t="s">
        <v>965</v>
      </c>
      <c r="H140" s="10" t="s">
        <v>966</v>
      </c>
      <c r="I140" s="10" t="s">
        <v>839</v>
      </c>
      <c r="J140" s="104" t="s">
        <v>180</v>
      </c>
      <c r="K140" s="80" t="s">
        <v>181</v>
      </c>
      <c r="L140" s="10"/>
      <c r="M140" s="10" t="s">
        <v>967</v>
      </c>
    </row>
    <row r="141" customFormat="false" ht="15" hidden="false" customHeight="false" outlineLevel="0" collapsed="false">
      <c r="A141" s="66"/>
      <c r="B141" s="39" t="s">
        <v>968</v>
      </c>
      <c r="C141" s="40" t="str">
        <f aca="false">IFERROR(__xludf.dummyfunction("""COMPUTED_VALUE"""),"ANDI NURHAKIKI")</f>
        <v>ANDI NURHAKIKI</v>
      </c>
      <c r="D141" s="40" t="str">
        <f aca="false">IFERROR(__xludf.dummyfunction("""COMPUTED_VALUE"""),"Uncontacted Telesales")</f>
        <v>Uncontacted Telesales</v>
      </c>
      <c r="E141" s="18" t="s">
        <v>969</v>
      </c>
      <c r="F141" s="18" t="s">
        <v>185</v>
      </c>
      <c r="G141" s="98" t="s">
        <v>970</v>
      </c>
      <c r="H141" s="33" t="s">
        <v>971</v>
      </c>
      <c r="I141" s="33" t="s">
        <v>666</v>
      </c>
      <c r="J141" s="98" t="s">
        <v>972</v>
      </c>
      <c r="K141" s="98" t="s">
        <v>190</v>
      </c>
      <c r="L141" s="99" t="e">
        <f aca="false">VLOOKUP(B224,#REF!,5,0)</f>
        <v>#VALUE!</v>
      </c>
      <c r="M141" s="99" t="s">
        <v>973</v>
      </c>
    </row>
    <row r="142" customFormat="false" ht="15" hidden="false" customHeight="false" outlineLevel="0" collapsed="false">
      <c r="A142" s="66"/>
      <c r="B142" s="10" t="s">
        <v>77</v>
      </c>
      <c r="C142" s="10" t="s">
        <v>78</v>
      </c>
      <c r="D142" s="10" t="s">
        <v>22</v>
      </c>
      <c r="E142" s="29" t="s">
        <v>974</v>
      </c>
      <c r="F142" s="10" t="s">
        <v>185</v>
      </c>
      <c r="G142" s="29" t="s">
        <v>975</v>
      </c>
      <c r="H142" s="10" t="s">
        <v>976</v>
      </c>
      <c r="I142" s="10" t="s">
        <v>396</v>
      </c>
      <c r="J142" s="45" t="s">
        <v>977</v>
      </c>
      <c r="K142" s="29" t="s">
        <v>181</v>
      </c>
      <c r="L142" s="10"/>
      <c r="M142" s="29" t="s">
        <v>978</v>
      </c>
    </row>
    <row r="143" customFormat="false" ht="15" hidden="false" customHeight="false" outlineLevel="0" collapsed="false">
      <c r="A143" s="66"/>
      <c r="B143" s="10" t="s">
        <v>79</v>
      </c>
      <c r="C143" s="10" t="s">
        <v>80</v>
      </c>
      <c r="D143" s="10" t="s">
        <v>22</v>
      </c>
      <c r="E143" s="29" t="s">
        <v>979</v>
      </c>
      <c r="F143" s="10" t="s">
        <v>185</v>
      </c>
      <c r="G143" s="105" t="s">
        <v>980</v>
      </c>
      <c r="H143" s="105" t="s">
        <v>615</v>
      </c>
      <c r="I143" s="105" t="s">
        <v>274</v>
      </c>
      <c r="J143" s="106" t="s">
        <v>981</v>
      </c>
      <c r="K143" s="105" t="s">
        <v>298</v>
      </c>
      <c r="L143" s="107"/>
      <c r="M143" s="105" t="s">
        <v>982</v>
      </c>
    </row>
    <row r="144" customFormat="false" ht="15" hidden="false" customHeight="false" outlineLevel="0" collapsed="false">
      <c r="A144" s="66"/>
      <c r="B144" s="10" t="s">
        <v>983</v>
      </c>
      <c r="C144" s="10" t="s">
        <v>984</v>
      </c>
      <c r="D144" s="10" t="s">
        <v>985</v>
      </c>
      <c r="E144" s="33" t="s">
        <v>986</v>
      </c>
      <c r="F144" s="97" t="s">
        <v>177</v>
      </c>
      <c r="G144" s="18" t="s">
        <v>987</v>
      </c>
      <c r="H144" s="18" t="s">
        <v>791</v>
      </c>
      <c r="I144" s="18" t="s">
        <v>240</v>
      </c>
      <c r="J144" s="18" t="s">
        <v>988</v>
      </c>
      <c r="K144" s="18" t="s">
        <v>190</v>
      </c>
      <c r="L144" s="21" t="e">
        <f aca="false">VLOOKUP(B231,#REF!,5,0)</f>
        <v>#VALUE!</v>
      </c>
      <c r="M144" s="21" t="n">
        <v>83178445524</v>
      </c>
    </row>
    <row r="145" customFormat="false" ht="15" hidden="false" customHeight="false" outlineLevel="0" collapsed="false">
      <c r="A145" s="66"/>
      <c r="B145" s="10" t="s">
        <v>989</v>
      </c>
      <c r="C145" s="10" t="s">
        <v>990</v>
      </c>
      <c r="D145" s="10" t="s">
        <v>169</v>
      </c>
      <c r="E145" s="37" t="s">
        <v>991</v>
      </c>
      <c r="F145" s="96" t="s">
        <v>177</v>
      </c>
      <c r="G145" s="10" t="s">
        <v>992</v>
      </c>
      <c r="H145" s="10" t="s">
        <v>993</v>
      </c>
      <c r="I145" s="10" t="s">
        <v>363</v>
      </c>
      <c r="J145" s="10" t="s">
        <v>994</v>
      </c>
      <c r="K145" s="10" t="s">
        <v>298</v>
      </c>
      <c r="L145" s="10"/>
      <c r="M145" s="10" t="n">
        <v>83848061379</v>
      </c>
    </row>
    <row r="146" customFormat="false" ht="15" hidden="false" customHeight="false" outlineLevel="0" collapsed="false">
      <c r="A146" s="66"/>
      <c r="B146" s="24" t="s">
        <v>995</v>
      </c>
      <c r="C146" s="22" t="s">
        <v>996</v>
      </c>
      <c r="D146" s="22" t="s">
        <v>997</v>
      </c>
      <c r="E146" s="101" t="s">
        <v>998</v>
      </c>
      <c r="F146" s="108" t="e">
        <f aca="false">#N/A</f>
        <v>#N/A</v>
      </c>
      <c r="G146" s="29" t="s">
        <v>999</v>
      </c>
      <c r="H146" s="29" t="s">
        <v>1000</v>
      </c>
      <c r="I146" s="29" t="s">
        <v>320</v>
      </c>
      <c r="J146" s="101" t="e">
        <f aca="false">#N/A</f>
        <v>#N/A</v>
      </c>
      <c r="K146" s="29" t="s">
        <v>190</v>
      </c>
      <c r="L146" s="29"/>
      <c r="M146" s="29" t="s">
        <v>1001</v>
      </c>
    </row>
    <row r="147" customFormat="false" ht="15" hidden="false" customHeight="false" outlineLevel="0" collapsed="false">
      <c r="A147" s="66"/>
      <c r="B147" s="24" t="s">
        <v>1002</v>
      </c>
      <c r="C147" s="22" t="s">
        <v>1003</v>
      </c>
      <c r="D147" s="22" t="s">
        <v>673</v>
      </c>
      <c r="E147" s="101" t="s">
        <v>1004</v>
      </c>
      <c r="F147" s="108" t="e">
        <f aca="false">#N/A</f>
        <v>#N/A</v>
      </c>
      <c r="G147" s="29" t="s">
        <v>1005</v>
      </c>
      <c r="H147" s="29" t="s">
        <v>1006</v>
      </c>
      <c r="I147" s="29" t="s">
        <v>240</v>
      </c>
      <c r="J147" s="29" t="e">
        <f aca="false">#N/A</f>
        <v>#N/A</v>
      </c>
      <c r="K147" s="29" t="s">
        <v>190</v>
      </c>
      <c r="L147" s="29"/>
      <c r="M147" s="29" t="s">
        <v>1007</v>
      </c>
    </row>
    <row r="148" customFormat="false" ht="15" hidden="false" customHeight="false" outlineLevel="0" collapsed="false">
      <c r="A148" s="66"/>
      <c r="B148" s="39" t="s">
        <v>1008</v>
      </c>
      <c r="C148" s="40" t="str">
        <f aca="false">IFERROR(__xludf.dummyfunction("""COMPUTED_VALUE"""),"NANANG HUSNI FARUK")</f>
        <v>NANANG HUSNI FARUK</v>
      </c>
      <c r="D148" s="40" t="str">
        <f aca="false">IFERROR(__xludf.dummyfunction("""COMPUTED_VALUE"""),"Konsumen Aktif M 0 - 6 Lunas")</f>
        <v>Konsumen Aktif M 0 - 6 Lunas</v>
      </c>
      <c r="E148" s="33" t="s">
        <v>1009</v>
      </c>
      <c r="F148" s="18" t="s">
        <v>185</v>
      </c>
      <c r="G148" s="18" t="s">
        <v>1010</v>
      </c>
      <c r="H148" s="18" t="s">
        <v>1011</v>
      </c>
      <c r="I148" s="18" t="s">
        <v>19</v>
      </c>
      <c r="J148" s="98" t="s">
        <v>1012</v>
      </c>
      <c r="K148" s="98" t="s">
        <v>298</v>
      </c>
      <c r="L148" s="99" t="e">
        <f aca="false">VLOOKUP(B238,#REF!,5,0)</f>
        <v>#VALUE!</v>
      </c>
      <c r="M148" s="21" t="n">
        <v>85640629977</v>
      </c>
    </row>
    <row r="149" customFormat="false" ht="15" hidden="false" customHeight="false" outlineLevel="0" collapsed="false">
      <c r="B149" s="10" t="s">
        <v>1013</v>
      </c>
      <c r="C149" s="10" t="s">
        <v>1014</v>
      </c>
      <c r="D149" s="10" t="s">
        <v>169</v>
      </c>
      <c r="E149" s="29" t="s">
        <v>1015</v>
      </c>
      <c r="F149" s="10" t="s">
        <v>177</v>
      </c>
      <c r="G149" s="29" t="s">
        <v>1016</v>
      </c>
      <c r="H149" s="29" t="s">
        <v>1017</v>
      </c>
      <c r="I149" s="29" t="s">
        <v>281</v>
      </c>
      <c r="J149" s="10" t="s">
        <v>1018</v>
      </c>
      <c r="K149" s="29" t="s">
        <v>190</v>
      </c>
      <c r="L149" s="10"/>
      <c r="M149" s="29" t="n">
        <v>82323281317</v>
      </c>
    </row>
    <row r="150" customFormat="false" ht="15" hidden="false" customHeight="false" outlineLevel="0" collapsed="false">
      <c r="A150" s="66"/>
      <c r="B150" s="10" t="s">
        <v>1019</v>
      </c>
      <c r="C150" s="10" t="s">
        <v>1020</v>
      </c>
      <c r="D150" s="10" t="s">
        <v>169</v>
      </c>
      <c r="E150" s="10" t="s">
        <v>1021</v>
      </c>
      <c r="F150" s="10" t="s">
        <v>177</v>
      </c>
      <c r="G150" s="107" t="s">
        <v>1022</v>
      </c>
      <c r="H150" s="107" t="s">
        <v>939</v>
      </c>
      <c r="I150" s="107" t="s">
        <v>288</v>
      </c>
      <c r="J150" s="109" t="s">
        <v>1023</v>
      </c>
      <c r="K150" s="107" t="s">
        <v>298</v>
      </c>
      <c r="L150" s="107"/>
      <c r="M150" s="107" t="s">
        <v>1024</v>
      </c>
    </row>
    <row r="151" customFormat="false" ht="15" hidden="false" customHeight="false" outlineLevel="0" collapsed="false">
      <c r="A151" s="66"/>
      <c r="B151" s="10" t="s">
        <v>1025</v>
      </c>
      <c r="C151" s="10" t="s">
        <v>1026</v>
      </c>
      <c r="D151" s="10" t="s">
        <v>22</v>
      </c>
      <c r="E151" s="38" t="s">
        <v>1027</v>
      </c>
      <c r="F151" s="96" t="s">
        <v>185</v>
      </c>
      <c r="G151" s="29" t="s">
        <v>1028</v>
      </c>
      <c r="H151" s="29" t="s">
        <v>295</v>
      </c>
      <c r="I151" s="29" t="s">
        <v>295</v>
      </c>
      <c r="J151" s="36" t="s">
        <v>180</v>
      </c>
      <c r="K151" s="29" t="s">
        <v>190</v>
      </c>
      <c r="L151" s="10"/>
      <c r="M151" s="29" t="s">
        <v>1029</v>
      </c>
    </row>
    <row r="152" customFormat="false" ht="15" hidden="false" customHeight="false" outlineLevel="0" collapsed="false">
      <c r="A152" s="66"/>
      <c r="B152" s="24" t="s">
        <v>1030</v>
      </c>
      <c r="C152" s="22" t="s">
        <v>1031</v>
      </c>
      <c r="D152" s="22" t="s">
        <v>1032</v>
      </c>
      <c r="E152" s="101" t="s">
        <v>1033</v>
      </c>
      <c r="F152" s="29" t="e">
        <f aca="false">#N/A</f>
        <v>#N/A</v>
      </c>
      <c r="G152" s="29" t="s">
        <v>1034</v>
      </c>
      <c r="H152" s="29" t="s">
        <v>1035</v>
      </c>
      <c r="I152" s="29" t="s">
        <v>677</v>
      </c>
      <c r="J152" s="29" t="s">
        <v>1036</v>
      </c>
      <c r="K152" s="29" t="s">
        <v>181</v>
      </c>
      <c r="L152" s="29"/>
      <c r="M152" s="29" t="s">
        <v>1037</v>
      </c>
    </row>
    <row r="153" customFormat="false" ht="15" hidden="false" customHeight="false" outlineLevel="0" collapsed="false">
      <c r="B153" s="10" t="s">
        <v>81</v>
      </c>
      <c r="C153" s="10" t="s">
        <v>82</v>
      </c>
      <c r="D153" s="10" t="s">
        <v>22</v>
      </c>
      <c r="E153" s="38" t="s">
        <v>1038</v>
      </c>
      <c r="F153" s="10" t="s">
        <v>177</v>
      </c>
      <c r="G153" s="29" t="s">
        <v>1039</v>
      </c>
      <c r="H153" s="29" t="s">
        <v>1040</v>
      </c>
      <c r="I153" s="29" t="s">
        <v>710</v>
      </c>
      <c r="J153" s="102" t="s">
        <v>1041</v>
      </c>
      <c r="K153" s="31" t="s">
        <v>190</v>
      </c>
      <c r="L153" s="10"/>
      <c r="M153" s="29" t="s">
        <v>1042</v>
      </c>
    </row>
    <row r="154" customFormat="false" ht="15" hidden="false" customHeight="false" outlineLevel="0" collapsed="false">
      <c r="A154" s="66"/>
      <c r="B154" s="10" t="s">
        <v>83</v>
      </c>
      <c r="C154" s="10" t="s">
        <v>84</v>
      </c>
      <c r="D154" s="10" t="s">
        <v>22</v>
      </c>
      <c r="E154" s="87" t="s">
        <v>1043</v>
      </c>
      <c r="F154" s="10" t="s">
        <v>177</v>
      </c>
      <c r="G154" s="29" t="s">
        <v>546</v>
      </c>
      <c r="H154" s="29" t="s">
        <v>547</v>
      </c>
      <c r="I154" s="29" t="s">
        <v>295</v>
      </c>
      <c r="J154" s="110" t="s">
        <v>180</v>
      </c>
      <c r="K154" s="111" t="s">
        <v>190</v>
      </c>
      <c r="L154" s="112"/>
      <c r="M154" s="29" t="s">
        <v>1044</v>
      </c>
    </row>
    <row r="155" customFormat="false" ht="15" hidden="false" customHeight="false" outlineLevel="0" collapsed="false">
      <c r="A155" s="66"/>
      <c r="B155" s="10" t="s">
        <v>85</v>
      </c>
      <c r="C155" s="10" t="s">
        <v>86</v>
      </c>
      <c r="D155" s="10" t="s">
        <v>22</v>
      </c>
      <c r="E155" s="38" t="s">
        <v>1045</v>
      </c>
      <c r="F155" s="96" t="s">
        <v>177</v>
      </c>
      <c r="G155" s="29" t="s">
        <v>1046</v>
      </c>
      <c r="H155" s="29" t="s">
        <v>320</v>
      </c>
      <c r="I155" s="29" t="s">
        <v>320</v>
      </c>
      <c r="J155" s="102" t="s">
        <v>1047</v>
      </c>
      <c r="K155" s="31" t="s">
        <v>181</v>
      </c>
      <c r="L155" s="10"/>
      <c r="M155" s="29" t="s">
        <v>1048</v>
      </c>
    </row>
    <row r="156" customFormat="false" ht="15" hidden="false" customHeight="false" outlineLevel="0" collapsed="false">
      <c r="A156" s="66"/>
      <c r="B156" s="71" t="s">
        <v>1049</v>
      </c>
      <c r="C156" s="71" t="s">
        <v>1050</v>
      </c>
      <c r="D156" s="10" t="s">
        <v>416</v>
      </c>
      <c r="E156" s="37" t="s">
        <v>1051</v>
      </c>
      <c r="F156" s="10" t="s">
        <v>177</v>
      </c>
      <c r="G156" s="10" t="s">
        <v>1052</v>
      </c>
      <c r="H156" s="36" t="s">
        <v>583</v>
      </c>
      <c r="I156" s="36" t="s">
        <v>260</v>
      </c>
      <c r="J156" s="113" t="s">
        <v>1053</v>
      </c>
      <c r="K156" s="57" t="s">
        <v>190</v>
      </c>
      <c r="L156" s="57"/>
      <c r="M156" s="10" t="n">
        <v>859131051893</v>
      </c>
    </row>
    <row r="157" customFormat="false" ht="15" hidden="false" customHeight="false" outlineLevel="0" collapsed="false">
      <c r="A157" s="66"/>
      <c r="B157" s="10" t="s">
        <v>1054</v>
      </c>
      <c r="C157" s="10" t="s">
        <v>1055</v>
      </c>
      <c r="D157" s="10" t="s">
        <v>169</v>
      </c>
      <c r="E157" s="38" t="s">
        <v>1056</v>
      </c>
      <c r="F157" s="10" t="s">
        <v>177</v>
      </c>
      <c r="G157" s="29" t="s">
        <v>1057</v>
      </c>
      <c r="H157" s="10" t="s">
        <v>1058</v>
      </c>
      <c r="I157" s="10" t="s">
        <v>296</v>
      </c>
      <c r="J157" s="10" t="s">
        <v>1059</v>
      </c>
      <c r="K157" s="29" t="s">
        <v>190</v>
      </c>
      <c r="L157" s="10"/>
      <c r="M157" s="29" t="n">
        <v>81393339095</v>
      </c>
    </row>
    <row r="158" customFormat="false" ht="15" hidden="false" customHeight="false" outlineLevel="0" collapsed="false">
      <c r="A158" s="66"/>
      <c r="B158" s="10" t="s">
        <v>87</v>
      </c>
      <c r="C158" s="10" t="s">
        <v>88</v>
      </c>
      <c r="D158" s="10" t="s">
        <v>22</v>
      </c>
      <c r="E158" s="38" t="s">
        <v>1060</v>
      </c>
      <c r="F158" s="96" t="s">
        <v>185</v>
      </c>
      <c r="G158" s="29" t="s">
        <v>1061</v>
      </c>
      <c r="H158" s="29" t="s">
        <v>260</v>
      </c>
      <c r="I158" s="29" t="s">
        <v>260</v>
      </c>
      <c r="J158" s="102" t="s">
        <v>1062</v>
      </c>
      <c r="K158" s="29" t="s">
        <v>298</v>
      </c>
      <c r="L158" s="10"/>
      <c r="M158" s="29" t="s">
        <v>1063</v>
      </c>
    </row>
    <row r="159" customFormat="false" ht="15" hidden="false" customHeight="false" outlineLevel="0" collapsed="false">
      <c r="A159" s="66"/>
      <c r="B159" s="39" t="s">
        <v>1064</v>
      </c>
      <c r="C159" s="40" t="str">
        <f aca="false">IFERROR(__xludf.dummyfunction("""COMPUTED_VALUE"""),"ARI EGASAPUTRA")</f>
        <v>ARI EGASAPUTRA</v>
      </c>
      <c r="D159" s="40" t="str">
        <f aca="false">IFERROR(__xludf.dummyfunction("""COMPUTED_VALUE"""),"Uncontacted Telesales")</f>
        <v>Uncontacted Telesales</v>
      </c>
      <c r="E159" s="67" t="s">
        <v>1065</v>
      </c>
      <c r="F159" s="18" t="s">
        <v>185</v>
      </c>
      <c r="G159" s="114" t="s">
        <v>1066</v>
      </c>
      <c r="H159" s="115" t="s">
        <v>1067</v>
      </c>
      <c r="I159" s="115" t="s">
        <v>1068</v>
      </c>
      <c r="J159" s="116" t="s">
        <v>1069</v>
      </c>
      <c r="K159" s="115" t="s">
        <v>190</v>
      </c>
      <c r="L159" s="117" t="e">
        <f aca="false">VLOOKUP(B261,#REF!,5,0)</f>
        <v>#VALUE!</v>
      </c>
      <c r="M159" s="118" t="n">
        <v>87888521304</v>
      </c>
    </row>
    <row r="160" customFormat="false" ht="15" hidden="false" customHeight="false" outlineLevel="0" collapsed="false">
      <c r="B160" s="10" t="s">
        <v>1070</v>
      </c>
      <c r="C160" s="10" t="s">
        <v>1071</v>
      </c>
      <c r="D160" s="10" t="s">
        <v>22</v>
      </c>
      <c r="E160" s="29" t="s">
        <v>1072</v>
      </c>
      <c r="F160" s="10" t="s">
        <v>185</v>
      </c>
      <c r="G160" s="119" t="s">
        <v>1073</v>
      </c>
      <c r="H160" s="38" t="s">
        <v>295</v>
      </c>
      <c r="I160" s="38" t="s">
        <v>296</v>
      </c>
      <c r="J160" s="57" t="s">
        <v>1074</v>
      </c>
      <c r="K160" s="57" t="s">
        <v>298</v>
      </c>
      <c r="L160" s="57"/>
      <c r="M160" s="119" t="n">
        <v>85191290755</v>
      </c>
    </row>
    <row r="161" customFormat="false" ht="15" hidden="false" customHeight="false" outlineLevel="0" collapsed="false">
      <c r="B161" s="10" t="s">
        <v>89</v>
      </c>
      <c r="C161" s="10" t="s">
        <v>90</v>
      </c>
      <c r="D161" s="10" t="s">
        <v>22</v>
      </c>
      <c r="E161" s="10" t="s">
        <v>1075</v>
      </c>
      <c r="F161" s="10" t="s">
        <v>177</v>
      </c>
      <c r="G161" s="10" t="s">
        <v>1076</v>
      </c>
      <c r="H161" s="10" t="s">
        <v>1077</v>
      </c>
      <c r="I161" s="10" t="s">
        <v>240</v>
      </c>
      <c r="J161" s="120" t="s">
        <v>1078</v>
      </c>
      <c r="K161" s="80" t="s">
        <v>181</v>
      </c>
      <c r="L161" s="10"/>
      <c r="M161" s="10" t="s">
        <v>1079</v>
      </c>
    </row>
    <row r="162" customFormat="false" ht="15" hidden="false" customHeight="false" outlineLevel="0" collapsed="false">
      <c r="B162" s="10" t="s">
        <v>1080</v>
      </c>
      <c r="C162" s="10" t="s">
        <v>1081</v>
      </c>
      <c r="D162" s="10" t="s">
        <v>302</v>
      </c>
      <c r="E162" s="37" t="s">
        <v>1082</v>
      </c>
      <c r="F162" s="10" t="s">
        <v>177</v>
      </c>
      <c r="G162" s="10" t="s">
        <v>1083</v>
      </c>
      <c r="H162" s="10" t="s">
        <v>659</v>
      </c>
      <c r="I162" s="10" t="s">
        <v>501</v>
      </c>
      <c r="J162" s="10" t="s">
        <v>1084</v>
      </c>
      <c r="K162" s="10" t="s">
        <v>190</v>
      </c>
      <c r="L162" s="10"/>
      <c r="M162" s="10" t="n">
        <v>85292398910</v>
      </c>
    </row>
    <row r="163" customFormat="false" ht="15" hidden="false" customHeight="false" outlineLevel="0" collapsed="false">
      <c r="B163" s="10" t="s">
        <v>95</v>
      </c>
      <c r="C163" s="10" t="s">
        <v>96</v>
      </c>
      <c r="D163" s="10" t="s">
        <v>22</v>
      </c>
      <c r="E163" s="37" t="s">
        <v>1085</v>
      </c>
      <c r="F163" s="10" t="s">
        <v>177</v>
      </c>
      <c r="G163" s="10" t="s">
        <v>1086</v>
      </c>
      <c r="H163" s="10" t="s">
        <v>1087</v>
      </c>
      <c r="I163" s="10" t="s">
        <v>1088</v>
      </c>
      <c r="J163" s="44" t="s">
        <v>1089</v>
      </c>
      <c r="K163" s="36" t="s">
        <v>181</v>
      </c>
      <c r="L163" s="10"/>
      <c r="M163" s="10" t="s">
        <v>1090</v>
      </c>
    </row>
    <row r="164" customFormat="false" ht="15" hidden="false" customHeight="false" outlineLevel="0" collapsed="false">
      <c r="B164" s="10" t="s">
        <v>1091</v>
      </c>
      <c r="C164" s="10" t="s">
        <v>1092</v>
      </c>
      <c r="D164" s="10" t="s">
        <v>22</v>
      </c>
      <c r="E164" s="29" t="s">
        <v>1093</v>
      </c>
      <c r="F164" s="10" t="s">
        <v>177</v>
      </c>
      <c r="G164" s="105" t="s">
        <v>1094</v>
      </c>
      <c r="H164" s="105" t="s">
        <v>547</v>
      </c>
      <c r="I164" s="105" t="s">
        <v>295</v>
      </c>
      <c r="J164" s="109" t="s">
        <v>1095</v>
      </c>
      <c r="K164" s="105" t="s">
        <v>298</v>
      </c>
      <c r="L164" s="107"/>
      <c r="M164" s="105" t="s">
        <v>1096</v>
      </c>
    </row>
    <row r="165" customFormat="false" ht="15" hidden="false" customHeight="false" outlineLevel="0" collapsed="false">
      <c r="A165" s="66"/>
      <c r="B165" s="10" t="s">
        <v>1097</v>
      </c>
      <c r="C165" s="10" t="s">
        <v>1098</v>
      </c>
      <c r="D165" s="10" t="s">
        <v>22</v>
      </c>
      <c r="E165" s="29" t="s">
        <v>1099</v>
      </c>
      <c r="F165" s="10" t="s">
        <v>177</v>
      </c>
      <c r="G165" s="119" t="s">
        <v>1100</v>
      </c>
      <c r="H165" s="119" t="s">
        <v>1101</v>
      </c>
      <c r="I165" s="119" t="s">
        <v>1102</v>
      </c>
      <c r="J165" s="113" t="s">
        <v>1103</v>
      </c>
      <c r="K165" s="119" t="s">
        <v>181</v>
      </c>
      <c r="L165" s="57"/>
      <c r="M165" s="119" t="s">
        <v>1104</v>
      </c>
    </row>
    <row r="166" customFormat="false" ht="15" hidden="false" customHeight="false" outlineLevel="0" collapsed="false">
      <c r="B166" s="10" t="s">
        <v>1105</v>
      </c>
      <c r="C166" s="10" t="s">
        <v>1106</v>
      </c>
      <c r="D166" s="10" t="s">
        <v>22</v>
      </c>
      <c r="E166" s="29" t="s">
        <v>1107</v>
      </c>
      <c r="F166" s="10" t="s">
        <v>185</v>
      </c>
      <c r="G166" s="29" t="s">
        <v>1108</v>
      </c>
      <c r="H166" s="10" t="s">
        <v>1109</v>
      </c>
      <c r="I166" s="10" t="s">
        <v>320</v>
      </c>
      <c r="J166" s="104" t="s">
        <v>180</v>
      </c>
      <c r="K166" s="31" t="s">
        <v>298</v>
      </c>
      <c r="L166" s="10"/>
      <c r="M166" s="29" t="s">
        <v>1110</v>
      </c>
    </row>
    <row r="167" customFormat="false" ht="15" hidden="false" customHeight="false" outlineLevel="0" collapsed="false">
      <c r="B167" s="10" t="s">
        <v>1111</v>
      </c>
      <c r="C167" s="10" t="s">
        <v>1112</v>
      </c>
      <c r="D167" s="10" t="s">
        <v>22</v>
      </c>
      <c r="E167" s="29" t="s">
        <v>1113</v>
      </c>
      <c r="F167" s="10" t="s">
        <v>177</v>
      </c>
      <c r="G167" s="29" t="s">
        <v>1114</v>
      </c>
      <c r="H167" s="29" t="s">
        <v>1115</v>
      </c>
      <c r="I167" s="29" t="s">
        <v>710</v>
      </c>
      <c r="J167" s="81" t="s">
        <v>1116</v>
      </c>
      <c r="K167" s="31" t="s">
        <v>298</v>
      </c>
      <c r="L167" s="10"/>
      <c r="M167" s="29" t="s">
        <v>1117</v>
      </c>
    </row>
    <row r="168" customFormat="false" ht="15" hidden="false" customHeight="false" outlineLevel="0" collapsed="false">
      <c r="B168" s="10" t="s">
        <v>107</v>
      </c>
      <c r="C168" s="10" t="s">
        <v>108</v>
      </c>
      <c r="D168" s="10" t="s">
        <v>22</v>
      </c>
      <c r="E168" s="29" t="s">
        <v>1118</v>
      </c>
      <c r="F168" s="10" t="s">
        <v>177</v>
      </c>
      <c r="G168" s="29" t="s">
        <v>1119</v>
      </c>
      <c r="H168" s="29" t="s">
        <v>1035</v>
      </c>
      <c r="I168" s="29" t="s">
        <v>677</v>
      </c>
      <c r="J168" s="44" t="s">
        <v>1120</v>
      </c>
      <c r="K168" s="29" t="s">
        <v>298</v>
      </c>
      <c r="L168" s="10"/>
      <c r="M168" s="29" t="s">
        <v>1121</v>
      </c>
    </row>
    <row r="169" customFormat="false" ht="15" hidden="false" customHeight="false" outlineLevel="0" collapsed="false">
      <c r="A169" s="66"/>
      <c r="B169" s="10" t="s">
        <v>1122</v>
      </c>
      <c r="C169" s="10" t="s">
        <v>1123</v>
      </c>
      <c r="D169" s="10" t="s">
        <v>169</v>
      </c>
      <c r="E169" s="37" t="s">
        <v>1124</v>
      </c>
      <c r="F169" s="96" t="s">
        <v>185</v>
      </c>
      <c r="G169" s="10" t="s">
        <v>1125</v>
      </c>
      <c r="H169" s="36" t="s">
        <v>741</v>
      </c>
      <c r="I169" s="36" t="s">
        <v>1126</v>
      </c>
      <c r="J169" s="44" t="s">
        <v>1127</v>
      </c>
      <c r="K169" s="36" t="s">
        <v>181</v>
      </c>
      <c r="L169" s="10"/>
      <c r="M169" s="10" t="n">
        <v>8979939037</v>
      </c>
    </row>
    <row r="170" customFormat="false" ht="15" hidden="false" customHeight="false" outlineLevel="0" collapsed="false">
      <c r="A170" s="66"/>
      <c r="B170" s="10" t="s">
        <v>1128</v>
      </c>
      <c r="C170" s="10" t="s">
        <v>34</v>
      </c>
      <c r="D170" s="10" t="s">
        <v>22</v>
      </c>
      <c r="E170" s="38" t="s">
        <v>1129</v>
      </c>
      <c r="F170" s="10" t="s">
        <v>177</v>
      </c>
      <c r="G170" s="29" t="s">
        <v>1130</v>
      </c>
      <c r="H170" s="29" t="s">
        <v>1131</v>
      </c>
      <c r="I170" s="29" t="s">
        <v>642</v>
      </c>
      <c r="J170" s="44" t="s">
        <v>1132</v>
      </c>
      <c r="K170" s="29" t="s">
        <v>298</v>
      </c>
      <c r="L170" s="10"/>
      <c r="M170" s="29" t="s">
        <v>1133</v>
      </c>
    </row>
    <row r="171" customFormat="false" ht="15" hidden="false" customHeight="false" outlineLevel="0" collapsed="false">
      <c r="B171" s="10" t="s">
        <v>117</v>
      </c>
      <c r="C171" s="10" t="s">
        <v>118</v>
      </c>
      <c r="D171" s="10" t="s">
        <v>22</v>
      </c>
      <c r="E171" s="38" t="s">
        <v>1134</v>
      </c>
      <c r="F171" s="10" t="s">
        <v>177</v>
      </c>
      <c r="G171" s="29" t="s">
        <v>1135</v>
      </c>
      <c r="H171" s="29" t="s">
        <v>1040</v>
      </c>
      <c r="I171" s="29" t="s">
        <v>710</v>
      </c>
      <c r="J171" s="102" t="s">
        <v>1136</v>
      </c>
      <c r="K171" s="80" t="s">
        <v>298</v>
      </c>
      <c r="L171" s="10"/>
      <c r="M171" s="29" t="s">
        <v>1137</v>
      </c>
    </row>
    <row r="172" customFormat="false" ht="15" hidden="false" customHeight="false" outlineLevel="0" collapsed="false">
      <c r="B172" s="10" t="s">
        <v>119</v>
      </c>
      <c r="C172" s="10" t="s">
        <v>120</v>
      </c>
      <c r="D172" s="10" t="s">
        <v>22</v>
      </c>
      <c r="E172" s="29" t="s">
        <v>1138</v>
      </c>
      <c r="F172" s="10" t="s">
        <v>177</v>
      </c>
      <c r="G172" s="111" t="s">
        <v>1139</v>
      </c>
      <c r="H172" s="111" t="s">
        <v>1140</v>
      </c>
      <c r="I172" s="111" t="s">
        <v>1102</v>
      </c>
      <c r="J172" s="121" t="s">
        <v>1141</v>
      </c>
      <c r="K172" s="111" t="s">
        <v>298</v>
      </c>
      <c r="L172" s="112"/>
      <c r="M172" s="111" t="s">
        <v>1142</v>
      </c>
    </row>
    <row r="173" customFormat="false" ht="15" hidden="false" customHeight="false" outlineLevel="0" collapsed="false">
      <c r="A173" s="66"/>
      <c r="B173" s="10" t="s">
        <v>121</v>
      </c>
      <c r="C173" s="10" t="s">
        <v>122</v>
      </c>
      <c r="D173" s="10" t="s">
        <v>22</v>
      </c>
      <c r="E173" s="29" t="s">
        <v>1143</v>
      </c>
      <c r="F173" s="10" t="s">
        <v>185</v>
      </c>
      <c r="G173" s="119" t="s">
        <v>1144</v>
      </c>
      <c r="H173" s="57" t="s">
        <v>547</v>
      </c>
      <c r="I173" s="57" t="s">
        <v>295</v>
      </c>
      <c r="J173" s="113" t="s">
        <v>1145</v>
      </c>
      <c r="K173" s="119" t="s">
        <v>190</v>
      </c>
      <c r="L173" s="57"/>
      <c r="M173" s="119" t="s">
        <v>1146</v>
      </c>
    </row>
    <row r="174" customFormat="false" ht="15" hidden="false" customHeight="false" outlineLevel="0" collapsed="false">
      <c r="B174" s="10" t="s">
        <v>123</v>
      </c>
      <c r="C174" s="10" t="s">
        <v>124</v>
      </c>
      <c r="D174" s="10" t="s">
        <v>22</v>
      </c>
      <c r="E174" s="29" t="s">
        <v>1147</v>
      </c>
      <c r="F174" s="10" t="s">
        <v>185</v>
      </c>
      <c r="G174" s="29" t="s">
        <v>1148</v>
      </c>
      <c r="H174" s="29" t="s">
        <v>1149</v>
      </c>
      <c r="I174" s="29" t="s">
        <v>1102</v>
      </c>
      <c r="J174" s="44" t="s">
        <v>1150</v>
      </c>
      <c r="K174" s="10" t="s">
        <v>298</v>
      </c>
      <c r="L174" s="10"/>
      <c r="M174" s="29" t="s">
        <v>1151</v>
      </c>
    </row>
    <row r="175" customFormat="false" ht="15" hidden="false" customHeight="false" outlineLevel="0" collapsed="false">
      <c r="B175" s="10" t="s">
        <v>131</v>
      </c>
      <c r="C175" s="10" t="s">
        <v>132</v>
      </c>
      <c r="D175" s="10" t="s">
        <v>302</v>
      </c>
      <c r="E175" s="10" t="s">
        <v>1152</v>
      </c>
      <c r="F175" s="10" t="s">
        <v>177</v>
      </c>
      <c r="G175" s="10" t="s">
        <v>876</v>
      </c>
      <c r="H175" s="10" t="s">
        <v>877</v>
      </c>
      <c r="I175" s="10" t="s">
        <v>281</v>
      </c>
      <c r="J175" s="44" t="s">
        <v>1153</v>
      </c>
      <c r="K175" s="36" t="s">
        <v>190</v>
      </c>
      <c r="L175" s="10"/>
      <c r="M175" s="10" t="s">
        <v>879</v>
      </c>
    </row>
    <row r="176" customFormat="false" ht="15" hidden="false" customHeight="false" outlineLevel="0" collapsed="false">
      <c r="A176" s="66"/>
      <c r="B176" s="10" t="s">
        <v>1154</v>
      </c>
      <c r="C176" s="10" t="s">
        <v>1155</v>
      </c>
      <c r="D176" s="10" t="s">
        <v>302</v>
      </c>
      <c r="E176" s="10" t="s">
        <v>1156</v>
      </c>
      <c r="F176" s="10" t="s">
        <v>185</v>
      </c>
      <c r="G176" s="10" t="s">
        <v>970</v>
      </c>
      <c r="H176" s="10" t="s">
        <v>1157</v>
      </c>
      <c r="I176" s="10" t="s">
        <v>1102</v>
      </c>
      <c r="J176" s="44" t="s">
        <v>1158</v>
      </c>
      <c r="K176" s="36" t="s">
        <v>190</v>
      </c>
      <c r="L176" s="10"/>
      <c r="M176" s="36" t="s">
        <v>180</v>
      </c>
    </row>
    <row r="177" customFormat="false" ht="15" hidden="false" customHeight="false" outlineLevel="0" collapsed="false">
      <c r="A177" s="66"/>
      <c r="B177" s="10" t="s">
        <v>29</v>
      </c>
      <c r="C177" s="10" t="s">
        <v>30</v>
      </c>
      <c r="D177" s="10" t="s">
        <v>22</v>
      </c>
      <c r="E177" s="29" t="s">
        <v>1159</v>
      </c>
      <c r="F177" s="10" t="s">
        <v>185</v>
      </c>
      <c r="G177" s="29" t="s">
        <v>1160</v>
      </c>
      <c r="H177" s="29" t="s">
        <v>932</v>
      </c>
      <c r="I177" s="29" t="s">
        <v>19</v>
      </c>
      <c r="J177" s="44" t="s">
        <v>1161</v>
      </c>
      <c r="K177" s="36" t="s">
        <v>181</v>
      </c>
      <c r="L177" s="10"/>
      <c r="M177" s="36" t="s">
        <v>180</v>
      </c>
    </row>
    <row r="178" customFormat="false" ht="15" hidden="false" customHeight="false" outlineLevel="0" collapsed="false">
      <c r="B178" s="10" t="s">
        <v>1162</v>
      </c>
      <c r="C178" s="10" t="s">
        <v>144</v>
      </c>
      <c r="D178" s="10" t="s">
        <v>22</v>
      </c>
      <c r="E178" s="10" t="s">
        <v>1163</v>
      </c>
      <c r="F178" s="10" t="s">
        <v>177</v>
      </c>
      <c r="G178" s="10" t="s">
        <v>1164</v>
      </c>
      <c r="H178" s="10" t="s">
        <v>1165</v>
      </c>
      <c r="I178" s="10" t="s">
        <v>215</v>
      </c>
      <c r="J178" s="10" t="s">
        <v>1166</v>
      </c>
      <c r="K178" s="10" t="s">
        <v>190</v>
      </c>
      <c r="L178" s="10"/>
      <c r="M178" s="80" t="n">
        <v>85219345280</v>
      </c>
    </row>
    <row r="179" customFormat="false" ht="15" hidden="false" customHeight="false" outlineLevel="0" collapsed="false">
      <c r="A179" s="66"/>
      <c r="B179" s="68" t="s">
        <v>1167</v>
      </c>
      <c r="C179" s="68" t="str">
        <f aca="false">IFERROR(__xludf.dummyfunction("""COMPUTED_VALUE"""),"HERRY RUSNARTEJA, SE")</f>
        <v>HERRY RUSNARTEJA, SE</v>
      </c>
      <c r="D179" s="16" t="str">
        <f aca="false">IFERROR(__xludf.dummyfunction("""COMPUTED_VALUE"""),"Konsumen Lunas M +3")</f>
        <v>Konsumen Lunas M +3</v>
      </c>
      <c r="E179" s="18" t="s">
        <v>1168</v>
      </c>
      <c r="F179" s="18" t="s">
        <v>177</v>
      </c>
      <c r="G179" s="18" t="s">
        <v>1169</v>
      </c>
      <c r="H179" s="18" t="s">
        <v>389</v>
      </c>
      <c r="I179" s="18" t="s">
        <v>234</v>
      </c>
      <c r="J179" s="18" t="s">
        <v>1170</v>
      </c>
      <c r="K179" s="18" t="n">
        <v>0</v>
      </c>
      <c r="L179" s="21" t="e">
        <f aca="false">VLOOKUP(B303,#REF!,5,0)</f>
        <v>#VALUE!</v>
      </c>
      <c r="M179" s="21" t="s">
        <v>1171</v>
      </c>
    </row>
    <row r="180" customFormat="false" ht="15" hidden="false" customHeight="false" outlineLevel="0" collapsed="false">
      <c r="A180" s="66"/>
      <c r="B180" s="10" t="s">
        <v>147</v>
      </c>
      <c r="C180" s="10" t="s">
        <v>148</v>
      </c>
      <c r="D180" s="10" t="s">
        <v>22</v>
      </c>
      <c r="E180" s="29" t="s">
        <v>1172</v>
      </c>
      <c r="F180" s="10" t="s">
        <v>177</v>
      </c>
      <c r="G180" s="29" t="s">
        <v>1173</v>
      </c>
      <c r="H180" s="29" t="s">
        <v>389</v>
      </c>
      <c r="I180" s="29" t="s">
        <v>437</v>
      </c>
      <c r="J180" s="10" t="s">
        <v>1174</v>
      </c>
      <c r="K180" s="31" t="s">
        <v>181</v>
      </c>
      <c r="L180" s="10"/>
      <c r="M180" s="31" t="n">
        <v>85878014014</v>
      </c>
    </row>
    <row r="181" customFormat="false" ht="15" hidden="false" customHeight="false" outlineLevel="0" collapsed="false">
      <c r="A181" s="38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</row>
    <row r="182" customFormat="false" ht="15" hidden="false" customHeight="false" outlineLevel="0" collapsed="false">
      <c r="A182" s="66"/>
      <c r="B182" s="39"/>
      <c r="C182" s="40"/>
      <c r="D182" s="40"/>
      <c r="E182" s="10"/>
      <c r="F182" s="10"/>
      <c r="G182" s="10"/>
      <c r="H182" s="10"/>
      <c r="I182" s="10"/>
      <c r="J182" s="10"/>
      <c r="K182" s="10"/>
      <c r="L182" s="43"/>
      <c r="M182" s="10"/>
    </row>
    <row r="183" customFormat="false" ht="15" hidden="false" customHeight="false" outlineLevel="0" collapsed="false">
      <c r="A183" s="87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</row>
    <row r="184" customFormat="false" ht="15" hidden="false" customHeight="false" outlineLevel="0" collapsed="false">
      <c r="A184" s="87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</row>
    <row r="185" customFormat="false" ht="15" hidden="false" customHeight="false" outlineLevel="0" collapsed="false">
      <c r="A185" s="87"/>
      <c r="B185" s="71"/>
      <c r="C185" s="10"/>
      <c r="D185" s="10"/>
      <c r="E185" s="122" t="s">
        <v>553</v>
      </c>
      <c r="F185" s="10" t="s">
        <v>185</v>
      </c>
      <c r="G185" s="122" t="s">
        <v>554</v>
      </c>
      <c r="H185" s="10" t="s">
        <v>555</v>
      </c>
      <c r="I185" s="10" t="s">
        <v>234</v>
      </c>
      <c r="J185" s="10" t="s">
        <v>556</v>
      </c>
      <c r="K185" s="10" t="s">
        <v>298</v>
      </c>
      <c r="L185" s="43" t="s">
        <v>208</v>
      </c>
      <c r="M185" s="123" t="n">
        <v>83865000154</v>
      </c>
    </row>
  </sheetData>
  <autoFilter ref="A2:M185">
    <sortState ref="A3:M185">
      <sortCondition ref="A3:A185" customList=""/>
    </sortState>
  </autoFilter>
  <conditionalFormatting sqref="A3:A29">
    <cfRule type="duplicateValues" priority="2" aboveAverage="0" equalAverage="0" bottom="0" percent="0" rank="0" text="" dxfId="11"/>
  </conditionalFormatting>
  <conditionalFormatting sqref="B181:B185">
    <cfRule type="duplicateValues" priority="3" aboveAverage="0" equalAverage="0" bottom="0" percent="0" rank="0" text="" dxfId="12"/>
  </conditionalFormatting>
  <conditionalFormatting sqref="B3:B180">
    <cfRule type="duplicateValues" priority="4" aboveAverage="0" equalAverage="0" bottom="0" percent="0" rank="0" text="" dxfId="13"/>
  </conditionalFormatting>
  <hyperlinks>
    <hyperlink ref="J3" r:id="rId1" display="https://www.google.com/maps?z=12&amp;t=m&amp;q=loc:-6.973941+109.927605"/>
    <hyperlink ref="J7" r:id="rId2" display="https://www.google.com/maps/place/6%C2%B058'08.3%22S+109%C2%B057'13.3%22E/@-6.968979,109.9511181,17z/data=!3m1!4b1!4m4!3m3!8m2!3d-6.968979!4d109.953693?entry=ttu&amp;g_ep=EgoyMDI2MDIwMS4wIKXMDSoKLDEwMDc5MjA3MUgBUAM%3D"/>
    <hyperlink ref="J9" r:id="rId3" display="https://www.google.com/maps?z=12&amp;t=m&amp;q=loc:-7.033076+109.905426"/>
    <hyperlink ref="J10" r:id="rId4" display="google.com/maps?z=12&amp;t=m&amp;q=loc:-7.079575+109.934911"/>
    <hyperlink ref="J11" r:id="rId5" display="https://www.google.com/maps?z=12&amp;t=m&amp;q=loc:-6.970127+110.254722"/>
    <hyperlink ref="J13" r:id="rId6" display="https://www.google.com/maps/place/7%C2%B001'19.5%22S+110%C2%B006'47.9%22E/@-7.022069,110.1107221,17z/data=!3m1!4b1!4m4!3m3!8m2!3d-7.022069!4d110.113297?entry=ttu&amp;g_ep=EgoyMDI1MTIwMi4wIKXMDSoASAFQAw%3D%3D"/>
    <hyperlink ref="J17" r:id="rId7" display="https://www.google.com/maps/place/6%C2%B056'38.5%22S+109%C2%B056'59.9%22E/@-6.944031,109.9473851,17z/data=!3m1!4b1!4m4!3m3!8m2!3d-6.944031!4d109.94996?entry=ttu&amp;g_ep=EgoyMDI1MTEyMy4xIKXMDSoASAFQAw%3D%3D"/>
    <hyperlink ref="J19" r:id="rId8" display="https://www.google.com/maps/place/7%C2%B002'26.3%22S+110%C2%B001'51.5%22E/@-7.040647,110.0284091,17z/data=!3m1!4b1!4m4!3m3!8m2!3d-7.040647!4d110.030984?entry=ttu&amp;g_ep=EgoyMDI1MTIwMi4wIKXMDSoASAFQAw%3D%3D"/>
    <hyperlink ref="J21" r:id="rId9" display="https://www.google.com/maps/place/6%C2%B058'02.0%22S+110%C2%B004'40.3%22E/@-6.967223,110.0752861,17z/data=!3m1!4b1!4m4!3m3!8m2!3d-6.967223!4d110.077861?entry=ttu&amp;g_ep=EgoyMDI2MDIwMS4wIKXMDSoKLDEwMDc5MjA3MUgBUAM%3D"/>
    <hyperlink ref="J22" r:id="rId10" display="https://www.google.com/maps?z=12&amp;t=m&amp;q=loc:-7.027926+110.105863"/>
    <hyperlink ref="J24" r:id="rId11" display="https://www.google.com/maps/place/6%C2%B055'39.7%22S+110%C2%B009'27.9%22E/@-6.9277,110.1551841,17z/data=!3m1!4b1!4m4!3m3!8m2!3d-6.9277!4d110.157759?entry=ttu&amp;g_ep=EgoyMDI2MDExMy4wIKXMDSoKLDEwMDc5MjA3MUgBUAM%3D"/>
    <hyperlink ref="J25" r:id="rId12" display="https://www.google.com/maps?z=12&amp;t=m&amp;q=loc:-6.924749+110.154084"/>
    <hyperlink ref="J28" r:id="rId13" display="https://www.google.com/maps?z=12&amp;t=m&amp;q=loc:-6.957502+110.074079"/>
    <hyperlink ref="J29" r:id="rId14" display="https://www.google.com/maps?z=12&amp;t=m&amp;q=loc:-6.977925+109.989168"/>
    <hyperlink ref="J31" r:id="rId15" display="https://www.google.com/maps?z=12&amp;t=m&amp;q=loc:-6.945867+110.153544"/>
    <hyperlink ref="J40" r:id="rId16" display="https://www.google.com/maps?z=12&amp;t=m&amp;q=loc:-6.995054+110.150966"/>
    <hyperlink ref="J42" r:id="rId17" display="https://www.google.com/maps?z=12&amp;t=m&amp;q=loc:-6.899243+110.186910"/>
    <hyperlink ref="J45" r:id="rId18" display="https://www.google.com/maps?z=12&amp;t=m&amp;q=loc:-6.927785+110.183065"/>
    <hyperlink ref="J56" r:id="rId19" display="https://www.google.com/maps?z=12&amp;t=m&amp;q=loc:-6.990828+110.254690"/>
    <hyperlink ref="J67" r:id="rId20" display="https://www.google.com/maps?z=12&amp;t=m&amp;q=loc:-6.928537+110.058435"/>
    <hyperlink ref="J72" r:id="rId21" display="https://www.google.com/maps?z=12&amp;t=m&amp;q=loc:-6.964023+110.241089"/>
    <hyperlink ref="J75" r:id="rId22" display="6°56'58.3&quot;S 110°14'24.1&quot;E - Google Maps"/>
    <hyperlink ref="J79" r:id="rId23" display="https://www.google.com/maps?z=12&amp;t=m&amp;q=loc:-6.920520+110.203468"/>
    <hyperlink ref="J87" r:id="rId24" display="https://www.google.com/maps/place/6%C2%B057'14.2%22S+110%C2%B010'29.0%22E/@-6.953941,110.1721411,17z/data=!3m1!4b1!4m4!3m3!8m2!3d-6.953941!4d110.174716?entry=ttu&amp;g_ep=EgoyMDI2MDcwNy4wIKXMDSoASAFQAw%3D%3D"/>
    <hyperlink ref="J93" r:id="rId25" display="https://www.google.com/maps/place/6%C2%B059'19.5%22S+109%C2%B059'08.9%22E/@-6.98875,109.9832371,17z/data=!3m1!4b1!4m4!3m3!8m2!3d-6.98875!4d109.985812?entry=ttu&amp;g_ep=EgoyMDI2MDYyOS4wIKXMDSoASAFQAw%3D%3D"/>
    <hyperlink ref="J94" r:id="rId26" display="https://www.google.com/maps?z=12&amp;t=m&amp;q=loc:-6.971223+110.090367"/>
    <hyperlink ref="J96" r:id="rId27" display="https://www.google.com/maps/place/6%C2%B056'20.0%22S+110%C2%B007'29.6%22E/@-6.938877,110.1223221,17z/data=!3m1!4b1!4m4!3m3!8m2!3d-6.938877!4d110.124897?entry=ttu&amp;g_ep=EgoyMDI2MDcwOC4wIKXMDSoASAFQAw%3D%3D"/>
    <hyperlink ref="J100" r:id="rId28" display="http://maps.google.com/maps?z=12&amp;t=m&amp;q=loc:-6.942429+110.253472"/>
    <hyperlink ref="J103" r:id="rId29" display="https://www.google.com/maps?z=12&amp;t=m&amp;q=loc:-6.924772+110.183666"/>
    <hyperlink ref="J106" r:id="rId30" display="https://www.google.com/maps?z=12&amp;t=m&amp;q=loc:-6.981893+110.073458"/>
    <hyperlink ref="J116" r:id="rId31" display="google.com/maps?z=12&amp;t=m&amp;q=loc:-6.972847+110.059785"/>
    <hyperlink ref="J118" r:id="rId32" display="https://www.google.com/maps/place/6%C2%B057'59.5%22S+110%C2%B014'47.6%22E/@-6.966538,110.2439671,17z/data=!3m1!4b1!4m4!3m3!8m2!3d-6.966538!4d110.246542?entry=ttu&amp;g_ep=EgoyMDI2MDYyOS4wIKXMDSoASAFQAw%3D%3D"/>
    <hyperlink ref="J119" r:id="rId33" display="https://www.google.com/maps/place/7%C2%B001'29.2%22S+110%C2%B001'10.2%22E/@-7.02477,110.0169101,17z/data=!3m1!4b1!4m4!3m3!8m2!3d-7.02477!4d110.019485?entry=ttu&amp;g_ep=EgoyMDI2MDYyOS4wIKXMDSoASAFQAw%3D%3D"/>
    <hyperlink ref="J123" r:id="rId34" display="google.com/maps?z=12&amp;t=m&amp;q=loc:-6.992719+110.128260"/>
    <hyperlink ref="J127" r:id="rId35" display="https://www.google.com/maps?z=12&amp;t=m&amp;q=loc:-7.119953+109.962283"/>
    <hyperlink ref="J128" r:id="rId36" display="https://www.google.com/maps?z=12&amp;t=m&amp;q=loc:-6.948692+110.105175"/>
    <hyperlink ref="J130" r:id="rId37" display="https://www.google.com/maps/place/6%C2%B056'54.6%22S+110%C2%B013'25.5%22E/@-6.948507,110.2211771,17z/data=!3m1!4b1!4m4!3m3!8m2!3d-6.948507!4d110.223752?entry=ttu&amp;g_ep=EgoyMDI2MDYyOS4wIKXMDSoASAFQAw%3D%3D"/>
    <hyperlink ref="J135" r:id="rId38" display="https://www.google.com/maps?z=12&amp;t=m&amp;q=loc:-6.937078+110.079561"/>
    <hyperlink ref="J136" r:id="rId39" display="https://www.google.com/maps?z=12&amp;t=m&amp;q=loc:-6.935942+110.032642"/>
    <hyperlink ref="J137" r:id="rId40" display="https://www.google.com/maps?z=12&amp;t=m&amp;q=loc:-7.079079+109.987101"/>
    <hyperlink ref="J139" r:id="rId41" display="https://maps.app.goo.gl/dDbiyBFWvo1HA9sT8"/>
    <hyperlink ref="J142" r:id="rId42" display="https://www.google.com/maps?z=12&amp;t=m&amp;q=loc:-6.980049+110.073777"/>
    <hyperlink ref="J143" r:id="rId43" display="https://www.google.com/maps?z=12&amp;t=m&amp;q=loc:-6.954715+110.200846"/>
    <hyperlink ref="J150" r:id="rId44" display="https://www.google.com/maps?z=12&amp;t=m&amp;q=loc:-6.935935+110.076394"/>
    <hyperlink ref="J153" r:id="rId45" display="https://www.google.com/maps?z=12&amp;t=m&amp;q=loc:-6.967304+110.017917"/>
    <hyperlink ref="J155" r:id="rId46" display="https://www.google.com/maps?z=12&amp;t=m&amp;q=loc:-6.923715+110.152227"/>
    <hyperlink ref="J156" r:id="rId47" display="https://www.google.com/maps?z=12&amp;t=m&amp;q=loc:-6.928970+110.122535"/>
    <hyperlink ref="J158" r:id="rId48" display="https://www.google.com/maps?z=12&amp;t=m&amp;q=loc:-6.906785+110.114196"/>
    <hyperlink ref="J161" r:id="rId49" display="https://www.google.com/maps?z=12&amp;t=m&amp;q=loc:-6.956966+110.150238"/>
    <hyperlink ref="J163" r:id="rId50" display="https://www.google.com/maps?z=12&amp;t=m&amp;q=loc:-7.007550+110.096400"/>
    <hyperlink ref="J164" r:id="rId51" display="https://www.google.com/maps?z=12&amp;t=m&amp;q=loc:-6.973830+110.055713"/>
    <hyperlink ref="J165" r:id="rId52" display="https://www.google.com/maps/place/7%C2%B005'09.1%22S+110%C2%B002'41.8%22E/@-7.085863,110.0423741,17z/data=!3m1!4b1!4m4!3m3!8m2!3d-7.085863!4d110.044949?entry=ttu&amp;g_ep=EgoyMDI2MDYyOS4wIKXMDSoASAFQAw%3D%3D"/>
    <hyperlink ref="J167" r:id="rId53" display="6°58'51.7&quot;S 109°59'05.0&quot;E - Google Maps"/>
    <hyperlink ref="J168" r:id="rId54" display="https://www.google.com/maps/place/6%C2%B055'51.0%22S+110%C2%B009'24.0%22E/@-6.930839,110.1540861,17z/data=!3m1!4b1!4m4!3m3!8m2!3d-6.930839!4d110.156661?entry=ttu&amp;g_ep=EgoyMDI2MDcwNy4wIKXMDSoASAFQAw%3D%3D"/>
    <hyperlink ref="J169" r:id="rId55" display="https://www.google.com/maps?z=12&amp;t=m&amp;q=loc:-6.958125+110.099468"/>
    <hyperlink ref="J170" r:id="rId56" display="https://www.google.com/maps?z=12&amp;t=m&amp;q=loc:-7.139930+110.005402"/>
    <hyperlink ref="J171" r:id="rId57" display="https://www.google.com/maps?z=12&amp;t=m&amp;q=loc:-6.967080+110.013456"/>
    <hyperlink ref="J172" r:id="rId58" display="7°06'34.9&quot;S 110°04'50.7&quot;E - Google Maps"/>
    <hyperlink ref="J173" r:id="rId59" display="https://www.google.com/maps?z=12&amp;t=m&amp;q=loc:-6.972395+110.060835"/>
    <hyperlink ref="J174" r:id="rId60" display="https://www.google.com/maps/place/7%C2%B002'47.0%22S+110%C2%B003'59.0%22E/@-7.0715822,110.0242411,13z/data=!4m4!3m3!8m2!3d-7.046375!4d110.066396?entry=ttu&amp;g_ep=EgoyMDI2MDcwNy4wIKXMDSoASAFQAw%3D%3D"/>
    <hyperlink ref="J175" r:id="rId61" display="https://www.google.com/maps?z=12&amp;t=m&amp;q=loc:-7.019104+110.054403"/>
    <hyperlink ref="J176" r:id="rId62" display="https://www.google.com/maps?z=12&amp;t=m&amp;q=loc:-7.079573+110.129816"/>
    <hyperlink ref="J177" r:id="rId63" display="google.com/maps?z=12&amp;t=m&amp;q=loc:-6.584906+110.68056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14"/>
  <sheetViews>
    <sheetView showFormulas="false" showGridLines="true" showRowColHeaders="true" showZeros="true" rightToLeft="false" tabSelected="true" showOutlineSymbols="true" defaultGridColor="true" view="normal" topLeftCell="F1" colorId="64" zoomScale="30" zoomScaleNormal="30" zoomScalePageLayoutView="100" workbookViewId="0">
      <selection pane="topLeft" activeCell="H49" activeCellId="0" sqref="H49"/>
    </sheetView>
  </sheetViews>
  <sheetFormatPr defaultColWidth="12.5078125" defaultRowHeight="15.75" customHeight="true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1.03"/>
    <col collapsed="false" customWidth="true" hidden="false" outlineLevel="0" max="3" min="3" style="1" width="24.75"/>
    <col collapsed="false" customWidth="true" hidden="false" outlineLevel="0" max="4" min="4" style="1" width="16.81"/>
    <col collapsed="false" customWidth="true" hidden="false" outlineLevel="0" max="5" min="5" style="1" width="27.71"/>
    <col collapsed="false" customWidth="true" hidden="false" outlineLevel="0" max="15" min="6" style="1" width="37.26"/>
    <col collapsed="false" customWidth="false" hidden="false" outlineLevel="0" max="16384" min="16" style="1" width="12.5"/>
  </cols>
  <sheetData>
    <row r="1" customFormat="false" ht="15.75" hidden="false" customHeight="true" outlineLevel="0" collapsed="false">
      <c r="A1" s="2"/>
      <c r="B1" s="3" t="s">
        <v>4</v>
      </c>
      <c r="C1" s="4" t="s">
        <v>5</v>
      </c>
      <c r="D1" s="5" t="s">
        <v>6</v>
      </c>
      <c r="E1" s="4" t="s">
        <v>7</v>
      </c>
      <c r="F1" s="3" t="s">
        <v>8</v>
      </c>
      <c r="G1" s="124" t="s">
        <v>9</v>
      </c>
      <c r="H1" s="3" t="s">
        <v>10</v>
      </c>
      <c r="I1" s="124" t="s">
        <v>11</v>
      </c>
      <c r="J1" s="124" t="s">
        <v>12</v>
      </c>
      <c r="K1" s="124" t="s">
        <v>13</v>
      </c>
      <c r="L1" s="124" t="s">
        <v>14</v>
      </c>
      <c r="M1" s="124" t="s">
        <v>15</v>
      </c>
      <c r="N1" s="3" t="s">
        <v>16</v>
      </c>
      <c r="O1" s="124" t="s">
        <v>17</v>
      </c>
    </row>
    <row r="2" customFormat="false" ht="15.75" hidden="false" customHeight="true" outlineLevel="0" collapsed="false">
      <c r="A2" s="2"/>
      <c r="B2" s="3"/>
      <c r="C2" s="4"/>
      <c r="D2" s="4"/>
      <c r="E2" s="4"/>
      <c r="F2" s="4"/>
      <c r="G2" s="124"/>
      <c r="H2" s="3"/>
      <c r="I2" s="124"/>
      <c r="J2" s="124"/>
      <c r="K2" s="124"/>
      <c r="L2" s="124"/>
      <c r="M2" s="124"/>
      <c r="N2" s="3"/>
      <c r="O2" s="124"/>
    </row>
    <row r="3" customFormat="false" ht="15.75" hidden="false" customHeight="true" outlineLevel="0" collapsed="false">
      <c r="A3" s="2"/>
      <c r="B3" s="3"/>
      <c r="C3" s="4"/>
      <c r="D3" s="4"/>
      <c r="E3" s="4"/>
      <c r="F3" s="4"/>
      <c r="G3" s="124"/>
      <c r="H3" s="3"/>
      <c r="I3" s="124"/>
      <c r="J3" s="124"/>
      <c r="K3" s="124"/>
      <c r="L3" s="124"/>
      <c r="M3" s="124"/>
      <c r="N3" s="3"/>
      <c r="O3" s="124"/>
    </row>
    <row r="4" customFormat="false" ht="15.75" hidden="false" customHeight="true" outlineLevel="0" collapsed="false">
      <c r="A4" s="6"/>
      <c r="B4" s="125"/>
      <c r="C4" s="125"/>
      <c r="D4" s="126"/>
      <c r="E4" s="126"/>
      <c r="F4" s="127"/>
      <c r="G4" s="127"/>
      <c r="H4" s="126"/>
      <c r="I4" s="127"/>
      <c r="J4" s="127"/>
      <c r="K4" s="127"/>
      <c r="L4" s="127"/>
      <c r="M4" s="127"/>
      <c r="N4" s="127"/>
      <c r="O4" s="127"/>
    </row>
    <row r="5" customFormat="false" ht="15.75" hidden="false" customHeight="true" outlineLevel="0" collapsed="false">
      <c r="A5" s="128"/>
      <c r="B5" s="10" t="s">
        <v>18</v>
      </c>
      <c r="C5" s="10" t="s">
        <v>19</v>
      </c>
      <c r="D5" s="10" t="s">
        <v>121</v>
      </c>
      <c r="E5" s="10" t="s">
        <v>122</v>
      </c>
      <c r="F5" s="11" t="s">
        <v>22</v>
      </c>
      <c r="G5" s="42" t="s">
        <v>1143</v>
      </c>
      <c r="H5" s="11" t="s">
        <v>185</v>
      </c>
      <c r="I5" s="129" t="s">
        <v>1144</v>
      </c>
      <c r="J5" s="42" t="s">
        <v>547</v>
      </c>
      <c r="K5" s="42" t="s">
        <v>295</v>
      </c>
      <c r="L5" s="11" t="s">
        <v>1145</v>
      </c>
      <c r="M5" s="129" t="s">
        <v>190</v>
      </c>
      <c r="N5" s="11" t="n">
        <v>0</v>
      </c>
      <c r="O5" s="129" t="s">
        <v>1146</v>
      </c>
      <c r="S5" s="10" t="s">
        <v>19</v>
      </c>
      <c r="T5" s="10" t="s">
        <v>20</v>
      </c>
      <c r="U5" s="10" t="s">
        <v>21</v>
      </c>
      <c r="V5" s="10" t="s">
        <v>18</v>
      </c>
      <c r="X5" s="1" t="s">
        <v>20</v>
      </c>
      <c r="Y5" s="1" t="s">
        <v>21</v>
      </c>
    </row>
    <row r="6" customFormat="false" ht="15.75" hidden="false" customHeight="true" outlineLevel="0" collapsed="false">
      <c r="A6" s="128"/>
      <c r="B6" s="10" t="s">
        <v>18</v>
      </c>
      <c r="C6" s="10" t="s">
        <v>19</v>
      </c>
      <c r="D6" s="10" t="s">
        <v>107</v>
      </c>
      <c r="E6" s="10" t="s">
        <v>108</v>
      </c>
      <c r="F6" s="11" t="s">
        <v>22</v>
      </c>
      <c r="G6" s="42" t="s">
        <v>1118</v>
      </c>
      <c r="H6" s="11" t="s">
        <v>177</v>
      </c>
      <c r="I6" s="129" t="s">
        <v>1119</v>
      </c>
      <c r="J6" s="42" t="s">
        <v>1035</v>
      </c>
      <c r="K6" s="42" t="s">
        <v>677</v>
      </c>
      <c r="L6" s="11" t="s">
        <v>1120</v>
      </c>
      <c r="M6" s="129" t="s">
        <v>298</v>
      </c>
      <c r="N6" s="11" t="n">
        <v>0</v>
      </c>
      <c r="O6" s="129" t="s">
        <v>1121</v>
      </c>
      <c r="S6" s="10" t="s">
        <v>19</v>
      </c>
      <c r="T6" s="10" t="s">
        <v>23</v>
      </c>
      <c r="U6" s="10" t="s">
        <v>24</v>
      </c>
      <c r="V6" s="10" t="s">
        <v>18</v>
      </c>
      <c r="X6" s="1" t="s">
        <v>23</v>
      </c>
      <c r="Y6" s="1" t="s">
        <v>24</v>
      </c>
    </row>
    <row r="7" customFormat="false" ht="15.75" hidden="false" customHeight="true" outlineLevel="0" collapsed="false">
      <c r="A7" s="128"/>
      <c r="B7" s="10" t="s">
        <v>18</v>
      </c>
      <c r="C7" s="10" t="s">
        <v>19</v>
      </c>
      <c r="D7" s="10" t="s">
        <v>131</v>
      </c>
      <c r="E7" s="10" t="s">
        <v>132</v>
      </c>
      <c r="F7" s="11" t="s">
        <v>22</v>
      </c>
      <c r="G7" s="11" t="s">
        <v>1152</v>
      </c>
      <c r="H7" s="11" t="s">
        <v>177</v>
      </c>
      <c r="I7" s="11" t="s">
        <v>876</v>
      </c>
      <c r="J7" s="11" t="s">
        <v>877</v>
      </c>
      <c r="K7" s="11" t="s">
        <v>281</v>
      </c>
      <c r="L7" s="11" t="s">
        <v>1153</v>
      </c>
      <c r="M7" s="11" t="s">
        <v>190</v>
      </c>
      <c r="N7" s="11" t="n">
        <v>0</v>
      </c>
      <c r="O7" s="11" t="s">
        <v>879</v>
      </c>
      <c r="S7" s="10" t="s">
        <v>19</v>
      </c>
      <c r="T7" s="10" t="s">
        <v>25</v>
      </c>
      <c r="U7" s="10" t="s">
        <v>26</v>
      </c>
      <c r="V7" s="10" t="s">
        <v>18</v>
      </c>
      <c r="X7" s="1" t="s">
        <v>25</v>
      </c>
      <c r="Y7" s="1" t="s">
        <v>26</v>
      </c>
    </row>
    <row r="8" customFormat="false" ht="15.75" hidden="false" customHeight="true" outlineLevel="0" collapsed="false">
      <c r="A8" s="128"/>
      <c r="B8" s="10" t="s">
        <v>18</v>
      </c>
      <c r="C8" s="10" t="s">
        <v>19</v>
      </c>
      <c r="D8" s="10" t="s">
        <v>53</v>
      </c>
      <c r="E8" s="10" t="s">
        <v>54</v>
      </c>
      <c r="F8" s="11" t="s">
        <v>22</v>
      </c>
      <c r="G8" s="42" t="s">
        <v>863</v>
      </c>
      <c r="H8" s="11" t="s">
        <v>177</v>
      </c>
      <c r="I8" s="129" t="s">
        <v>864</v>
      </c>
      <c r="J8" s="42" t="s">
        <v>865</v>
      </c>
      <c r="K8" s="42" t="s">
        <v>240</v>
      </c>
      <c r="L8" s="11" t="s">
        <v>866</v>
      </c>
      <c r="M8" s="129" t="s">
        <v>181</v>
      </c>
      <c r="N8" s="11" t="n">
        <v>0</v>
      </c>
      <c r="O8" s="129" t="s">
        <v>867</v>
      </c>
      <c r="S8" s="10" t="s">
        <v>19</v>
      </c>
      <c r="T8" s="10" t="s">
        <v>27</v>
      </c>
      <c r="U8" s="10" t="s">
        <v>28</v>
      </c>
      <c r="V8" s="10" t="s">
        <v>18</v>
      </c>
      <c r="X8" s="1" t="s">
        <v>27</v>
      </c>
      <c r="Y8" s="1" t="s">
        <v>28</v>
      </c>
    </row>
    <row r="9" customFormat="false" ht="15.75" hidden="false" customHeight="true" outlineLevel="0" collapsed="false">
      <c r="A9" s="96"/>
      <c r="B9" s="10" t="s">
        <v>18</v>
      </c>
      <c r="C9" s="10" t="s">
        <v>19</v>
      </c>
      <c r="D9" s="10" t="s">
        <v>119</v>
      </c>
      <c r="E9" s="10" t="s">
        <v>120</v>
      </c>
      <c r="F9" s="11" t="s">
        <v>22</v>
      </c>
      <c r="G9" s="11" t="s">
        <v>1138</v>
      </c>
      <c r="H9" s="11" t="s">
        <v>177</v>
      </c>
      <c r="I9" s="11" t="s">
        <v>1139</v>
      </c>
      <c r="J9" s="11" t="s">
        <v>1140</v>
      </c>
      <c r="K9" s="11" t="s">
        <v>1102</v>
      </c>
      <c r="L9" s="11" t="s">
        <v>1141</v>
      </c>
      <c r="M9" s="11" t="s">
        <v>298</v>
      </c>
      <c r="N9" s="11" t="n">
        <v>0</v>
      </c>
      <c r="O9" s="11" t="s">
        <v>1142</v>
      </c>
      <c r="P9" s="130"/>
      <c r="S9" s="10" t="s">
        <v>19</v>
      </c>
      <c r="T9" s="10" t="s">
        <v>157</v>
      </c>
      <c r="U9" s="10" t="s">
        <v>158</v>
      </c>
      <c r="V9" s="10" t="s">
        <v>18</v>
      </c>
      <c r="X9" s="1" t="s">
        <v>157</v>
      </c>
      <c r="Y9" s="1" t="s">
        <v>158</v>
      </c>
    </row>
    <row r="10" customFormat="false" ht="15.75" hidden="false" customHeight="true" outlineLevel="0" collapsed="false">
      <c r="A10" s="96"/>
      <c r="B10" s="10" t="s">
        <v>18</v>
      </c>
      <c r="C10" s="10" t="s">
        <v>19</v>
      </c>
      <c r="D10" s="10" t="s">
        <v>79</v>
      </c>
      <c r="E10" s="10" t="s">
        <v>80</v>
      </c>
      <c r="F10" s="11" t="s">
        <v>22</v>
      </c>
      <c r="G10" s="42" t="s">
        <v>979</v>
      </c>
      <c r="H10" s="11" t="s">
        <v>185</v>
      </c>
      <c r="I10" s="129" t="s">
        <v>980</v>
      </c>
      <c r="J10" s="42" t="s">
        <v>615</v>
      </c>
      <c r="K10" s="42" t="s">
        <v>274</v>
      </c>
      <c r="L10" s="11" t="s">
        <v>981</v>
      </c>
      <c r="M10" s="129" t="s">
        <v>298</v>
      </c>
      <c r="N10" s="11" t="n">
        <v>0</v>
      </c>
      <c r="O10" s="129" t="s">
        <v>982</v>
      </c>
      <c r="P10" s="130"/>
      <c r="S10" s="10" t="s">
        <v>19</v>
      </c>
      <c r="T10" s="10" t="s">
        <v>161</v>
      </c>
      <c r="U10" s="10" t="s">
        <v>162</v>
      </c>
      <c r="V10" s="10" t="s">
        <v>18</v>
      </c>
      <c r="X10" s="1" t="s">
        <v>161</v>
      </c>
      <c r="Y10" s="1" t="s">
        <v>162</v>
      </c>
    </row>
    <row r="11" customFormat="false" ht="15.75" hidden="false" customHeight="true" outlineLevel="0" collapsed="false">
      <c r="A11" s="96"/>
      <c r="B11" s="10" t="s">
        <v>18</v>
      </c>
      <c r="C11" s="10" t="s">
        <v>19</v>
      </c>
      <c r="D11" s="10" t="s">
        <v>77</v>
      </c>
      <c r="E11" s="10" t="s">
        <v>78</v>
      </c>
      <c r="F11" s="11" t="s">
        <v>22</v>
      </c>
      <c r="G11" s="42" t="s">
        <v>974</v>
      </c>
      <c r="H11" s="11" t="s">
        <v>185</v>
      </c>
      <c r="I11" s="129" t="s">
        <v>975</v>
      </c>
      <c r="J11" s="42" t="s">
        <v>976</v>
      </c>
      <c r="K11" s="42" t="s">
        <v>396</v>
      </c>
      <c r="L11" s="11" t="s">
        <v>977</v>
      </c>
      <c r="M11" s="129" t="s">
        <v>181</v>
      </c>
      <c r="N11" s="11" t="n">
        <v>0</v>
      </c>
      <c r="O11" s="129" t="s">
        <v>978</v>
      </c>
      <c r="P11" s="130"/>
      <c r="S11" s="10" t="s">
        <v>19</v>
      </c>
      <c r="T11" s="10" t="s">
        <v>159</v>
      </c>
      <c r="U11" s="10" t="s">
        <v>160</v>
      </c>
      <c r="V11" s="10" t="s">
        <v>18</v>
      </c>
      <c r="X11" s="1" t="s">
        <v>159</v>
      </c>
      <c r="Y11" s="1" t="s">
        <v>160</v>
      </c>
    </row>
    <row r="12" customFormat="false" ht="15.75" hidden="false" customHeight="true" outlineLevel="0" collapsed="false">
      <c r="A12" s="96"/>
      <c r="B12" s="10" t="s">
        <v>18</v>
      </c>
      <c r="C12" s="10" t="s">
        <v>19</v>
      </c>
      <c r="D12" s="10" t="s">
        <v>35</v>
      </c>
      <c r="E12" s="10" t="s">
        <v>36</v>
      </c>
      <c r="F12" s="11" t="s">
        <v>22</v>
      </c>
      <c r="G12" s="11" t="s">
        <v>674</v>
      </c>
      <c r="H12" s="11" t="e">
        <f aca="false">#N/A</f>
        <v>#N/A</v>
      </c>
      <c r="I12" s="11" t="s">
        <v>675</v>
      </c>
      <c r="J12" s="11" t="s">
        <v>676</v>
      </c>
      <c r="K12" s="11" t="s">
        <v>677</v>
      </c>
      <c r="L12" s="131" t="s">
        <v>1175</v>
      </c>
      <c r="M12" s="11" t="s">
        <v>181</v>
      </c>
      <c r="N12" s="11" t="n">
        <v>0</v>
      </c>
      <c r="O12" s="11" t="s">
        <v>678</v>
      </c>
      <c r="P12" s="130"/>
      <c r="S12" s="10" t="s">
        <v>19</v>
      </c>
      <c r="T12" s="10" t="s">
        <v>163</v>
      </c>
      <c r="U12" s="10" t="s">
        <v>164</v>
      </c>
      <c r="V12" s="10" t="s">
        <v>18</v>
      </c>
      <c r="X12" s="1" t="s">
        <v>163</v>
      </c>
      <c r="Y12" s="1" t="s">
        <v>164</v>
      </c>
    </row>
    <row r="13" customFormat="false" ht="15.75" hidden="false" customHeight="true" outlineLevel="0" collapsed="false">
      <c r="A13" s="96"/>
      <c r="B13" s="10" t="s">
        <v>18</v>
      </c>
      <c r="C13" s="10" t="s">
        <v>19</v>
      </c>
      <c r="D13" s="10" t="s">
        <v>123</v>
      </c>
      <c r="E13" s="10" t="s">
        <v>124</v>
      </c>
      <c r="F13" s="11" t="s">
        <v>22</v>
      </c>
      <c r="G13" s="11" t="s">
        <v>1147</v>
      </c>
      <c r="H13" s="11" t="s">
        <v>185</v>
      </c>
      <c r="I13" s="11" t="s">
        <v>1148</v>
      </c>
      <c r="J13" s="42" t="s">
        <v>1149</v>
      </c>
      <c r="K13" s="42" t="s">
        <v>1102</v>
      </c>
      <c r="L13" s="11" t="s">
        <v>1150</v>
      </c>
      <c r="M13" s="11" t="s">
        <v>298</v>
      </c>
      <c r="N13" s="11" t="n">
        <v>0</v>
      </c>
      <c r="O13" s="11" t="s">
        <v>1151</v>
      </c>
      <c r="P13" s="130"/>
      <c r="S13" s="10" t="s">
        <v>19</v>
      </c>
      <c r="T13" s="10" t="s">
        <v>165</v>
      </c>
      <c r="U13" s="10" t="s">
        <v>166</v>
      </c>
      <c r="V13" s="10" t="s">
        <v>18</v>
      </c>
      <c r="X13" s="1" t="s">
        <v>165</v>
      </c>
      <c r="Y13" s="1" t="s">
        <v>166</v>
      </c>
    </row>
    <row r="14" customFormat="false" ht="15.75" hidden="false" customHeight="true" outlineLevel="0" collapsed="false">
      <c r="A14" s="96"/>
      <c r="B14" s="10" t="s">
        <v>18</v>
      </c>
      <c r="C14" s="10" t="s">
        <v>19</v>
      </c>
      <c r="D14" s="10" t="s">
        <v>47</v>
      </c>
      <c r="E14" s="10" t="s">
        <v>48</v>
      </c>
      <c r="F14" s="11" t="s">
        <v>22</v>
      </c>
      <c r="G14" s="11" t="s">
        <v>827</v>
      </c>
      <c r="H14" s="11" t="s">
        <v>177</v>
      </c>
      <c r="I14" s="11" t="s">
        <v>828</v>
      </c>
      <c r="J14" s="11" t="s">
        <v>547</v>
      </c>
      <c r="K14" s="11" t="s">
        <v>295</v>
      </c>
      <c r="L14" s="11" t="s">
        <v>829</v>
      </c>
      <c r="M14" s="11" t="s">
        <v>298</v>
      </c>
      <c r="N14" s="11" t="n">
        <v>0</v>
      </c>
      <c r="O14" s="11" t="s">
        <v>830</v>
      </c>
      <c r="P14" s="130"/>
      <c r="S14" s="10" t="s">
        <v>19</v>
      </c>
      <c r="T14" s="10" t="s">
        <v>153</v>
      </c>
      <c r="U14" s="10" t="s">
        <v>154</v>
      </c>
      <c r="V14" s="10" t="s">
        <v>18</v>
      </c>
      <c r="X14" s="1" t="s">
        <v>153</v>
      </c>
      <c r="Y14" s="1" t="s">
        <v>154</v>
      </c>
    </row>
    <row r="15" customFormat="false" ht="15.75" hidden="false" customHeight="true" outlineLevel="0" collapsed="false">
      <c r="A15" s="96"/>
      <c r="B15" s="10" t="s">
        <v>18</v>
      </c>
      <c r="C15" s="10" t="s">
        <v>19</v>
      </c>
      <c r="D15" s="10" t="s">
        <v>45</v>
      </c>
      <c r="E15" s="10" t="s">
        <v>46</v>
      </c>
      <c r="F15" s="11" t="s">
        <v>22</v>
      </c>
      <c r="G15" s="11" t="s">
        <v>783</v>
      </c>
      <c r="H15" s="11" t="s">
        <v>177</v>
      </c>
      <c r="I15" s="11" t="s">
        <v>784</v>
      </c>
      <c r="J15" s="11" t="s">
        <v>785</v>
      </c>
      <c r="K15" s="11" t="s">
        <v>295</v>
      </c>
      <c r="L15" s="11" t="s">
        <v>786</v>
      </c>
      <c r="M15" s="11" t="s">
        <v>181</v>
      </c>
      <c r="N15" s="11" t="n">
        <v>0</v>
      </c>
      <c r="O15" s="11" t="s">
        <v>787</v>
      </c>
      <c r="P15" s="130"/>
      <c r="S15" s="10" t="s">
        <v>19</v>
      </c>
      <c r="T15" s="10" t="s">
        <v>150</v>
      </c>
      <c r="U15" s="10" t="s">
        <v>151</v>
      </c>
      <c r="V15" s="10" t="s">
        <v>18</v>
      </c>
      <c r="X15" s="1" t="s">
        <v>150</v>
      </c>
      <c r="Y15" s="1" t="s">
        <v>151</v>
      </c>
    </row>
    <row r="16" customFormat="false" ht="15.75" hidden="false" customHeight="true" outlineLevel="0" collapsed="false">
      <c r="A16" s="96"/>
      <c r="B16" s="10" t="s">
        <v>18</v>
      </c>
      <c r="C16" s="10" t="s">
        <v>19</v>
      </c>
      <c r="D16" s="10" t="s">
        <v>49</v>
      </c>
      <c r="E16" s="10" t="s">
        <v>50</v>
      </c>
      <c r="F16" s="11" t="s">
        <v>22</v>
      </c>
      <c r="G16" s="11" t="s">
        <v>836</v>
      </c>
      <c r="H16" s="11" t="s">
        <v>177</v>
      </c>
      <c r="I16" s="11" t="s">
        <v>837</v>
      </c>
      <c r="J16" s="11" t="s">
        <v>838</v>
      </c>
      <c r="K16" s="11" t="s">
        <v>839</v>
      </c>
      <c r="L16" s="11" t="s">
        <v>840</v>
      </c>
      <c r="M16" s="11" t="s">
        <v>298</v>
      </c>
      <c r="N16" s="11" t="n">
        <v>0</v>
      </c>
      <c r="O16" s="11" t="s">
        <v>841</v>
      </c>
      <c r="P16" s="130"/>
      <c r="S16" s="10" t="s">
        <v>19</v>
      </c>
      <c r="T16" s="10" t="s">
        <v>31</v>
      </c>
      <c r="U16" s="10" t="s">
        <v>32</v>
      </c>
      <c r="V16" s="10" t="s">
        <v>18</v>
      </c>
      <c r="X16" s="1" t="s">
        <v>31</v>
      </c>
      <c r="Y16" s="1" t="s">
        <v>32</v>
      </c>
    </row>
    <row r="17" customFormat="false" ht="15.75" hidden="false" customHeight="true" outlineLevel="0" collapsed="false">
      <c r="A17" s="96"/>
      <c r="B17" s="10" t="s">
        <v>18</v>
      </c>
      <c r="C17" s="10" t="s">
        <v>19</v>
      </c>
      <c r="D17" s="10" t="s">
        <v>159</v>
      </c>
      <c r="E17" s="10" t="s">
        <v>160</v>
      </c>
      <c r="F17" s="11" t="s">
        <v>152</v>
      </c>
      <c r="G17" s="42" t="s">
        <v>323</v>
      </c>
      <c r="H17" s="11" t="s">
        <v>177</v>
      </c>
      <c r="I17" s="129" t="s">
        <v>324</v>
      </c>
      <c r="J17" s="42" t="s">
        <v>325</v>
      </c>
      <c r="K17" s="42" t="s">
        <v>325</v>
      </c>
      <c r="L17" s="11" t="s">
        <v>326</v>
      </c>
      <c r="M17" s="11" t="s">
        <v>190</v>
      </c>
      <c r="N17" s="11" t="n">
        <v>0</v>
      </c>
      <c r="O17" s="129" t="n">
        <v>88980888140</v>
      </c>
      <c r="P17" s="130"/>
      <c r="S17" s="10" t="s">
        <v>19</v>
      </c>
      <c r="T17" s="10" t="s">
        <v>33</v>
      </c>
      <c r="U17" s="10" t="s">
        <v>34</v>
      </c>
      <c r="V17" s="10" t="s">
        <v>18</v>
      </c>
      <c r="X17" s="1" t="s">
        <v>33</v>
      </c>
      <c r="Y17" s="1" t="s">
        <v>34</v>
      </c>
    </row>
    <row r="18" customFormat="false" ht="15.75" hidden="false" customHeight="true" outlineLevel="0" collapsed="false">
      <c r="A18" s="96"/>
      <c r="B18" s="10" t="s">
        <v>18</v>
      </c>
      <c r="C18" s="10" t="s">
        <v>19</v>
      </c>
      <c r="D18" s="10" t="s">
        <v>95</v>
      </c>
      <c r="E18" s="10" t="s">
        <v>96</v>
      </c>
      <c r="F18" s="11" t="s">
        <v>22</v>
      </c>
      <c r="G18" s="42" t="s">
        <v>1085</v>
      </c>
      <c r="H18" s="11" t="s">
        <v>177</v>
      </c>
      <c r="I18" s="129" t="s">
        <v>1086</v>
      </c>
      <c r="J18" s="42" t="s">
        <v>1087</v>
      </c>
      <c r="K18" s="42" t="s">
        <v>1088</v>
      </c>
      <c r="L18" s="11" t="s">
        <v>1089</v>
      </c>
      <c r="M18" s="129" t="s">
        <v>181</v>
      </c>
      <c r="N18" s="11" t="n">
        <v>0</v>
      </c>
      <c r="O18" s="129" t="s">
        <v>1090</v>
      </c>
      <c r="P18" s="130"/>
      <c r="S18" s="10" t="s">
        <v>19</v>
      </c>
      <c r="T18" s="10" t="s">
        <v>155</v>
      </c>
      <c r="U18" s="10" t="s">
        <v>156</v>
      </c>
      <c r="V18" s="10" t="s">
        <v>18</v>
      </c>
      <c r="X18" s="1" t="s">
        <v>155</v>
      </c>
      <c r="Y18" s="1" t="s">
        <v>156</v>
      </c>
    </row>
    <row r="19" customFormat="false" ht="15.75" hidden="false" customHeight="true" outlineLevel="0" collapsed="false">
      <c r="A19" s="96"/>
      <c r="B19" s="10" t="s">
        <v>18</v>
      </c>
      <c r="C19" s="10" t="s">
        <v>19</v>
      </c>
      <c r="D19" s="10" t="s">
        <v>37</v>
      </c>
      <c r="E19" s="10" t="s">
        <v>38</v>
      </c>
      <c r="F19" s="11" t="s">
        <v>22</v>
      </c>
      <c r="G19" s="11" t="s">
        <v>707</v>
      </c>
      <c r="H19" s="11" t="s">
        <v>177</v>
      </c>
      <c r="I19" s="11" t="s">
        <v>708</v>
      </c>
      <c r="J19" s="11" t="s">
        <v>709</v>
      </c>
      <c r="K19" s="11" t="s">
        <v>710</v>
      </c>
      <c r="L19" s="11" t="s">
        <v>711</v>
      </c>
      <c r="M19" s="11" t="s">
        <v>181</v>
      </c>
      <c r="N19" s="11" t="n">
        <v>0</v>
      </c>
      <c r="O19" s="11" t="s">
        <v>712</v>
      </c>
      <c r="P19" s="130"/>
      <c r="S19" s="10" t="s">
        <v>19</v>
      </c>
      <c r="T19" s="10" t="s">
        <v>35</v>
      </c>
      <c r="U19" s="10" t="s">
        <v>36</v>
      </c>
      <c r="V19" s="10" t="s">
        <v>18</v>
      </c>
      <c r="X19" s="1" t="s">
        <v>35</v>
      </c>
      <c r="Y19" s="1" t="s">
        <v>36</v>
      </c>
    </row>
    <row r="20" customFormat="false" ht="15.75" hidden="false" customHeight="true" outlineLevel="0" collapsed="false">
      <c r="A20" s="96"/>
      <c r="B20" s="10" t="s">
        <v>18</v>
      </c>
      <c r="C20" s="10" t="s">
        <v>19</v>
      </c>
      <c r="D20" s="10" t="s">
        <v>153</v>
      </c>
      <c r="E20" s="10" t="s">
        <v>154</v>
      </c>
      <c r="F20" s="11" t="s">
        <v>152</v>
      </c>
      <c r="G20" s="11" t="s">
        <v>417</v>
      </c>
      <c r="H20" s="11" t="s">
        <v>177</v>
      </c>
      <c r="I20" s="11" t="s">
        <v>418</v>
      </c>
      <c r="J20" s="11" t="s">
        <v>419</v>
      </c>
      <c r="K20" s="11" t="s">
        <v>188</v>
      </c>
      <c r="L20" s="11" t="s">
        <v>420</v>
      </c>
      <c r="M20" s="11" t="s">
        <v>190</v>
      </c>
      <c r="N20" s="11" t="n">
        <v>0</v>
      </c>
      <c r="O20" s="11" t="n">
        <v>89677104292</v>
      </c>
      <c r="P20" s="130"/>
      <c r="S20" s="10" t="s">
        <v>19</v>
      </c>
      <c r="T20" s="10" t="s">
        <v>37</v>
      </c>
      <c r="U20" s="10" t="s">
        <v>38</v>
      </c>
      <c r="V20" s="10" t="s">
        <v>18</v>
      </c>
      <c r="X20" s="1" t="s">
        <v>37</v>
      </c>
      <c r="Y20" s="1" t="s">
        <v>38</v>
      </c>
    </row>
    <row r="21" customFormat="false" ht="15.75" hidden="false" customHeight="true" outlineLevel="0" collapsed="false">
      <c r="A21" s="96"/>
      <c r="B21" s="10" t="s">
        <v>18</v>
      </c>
      <c r="C21" s="10" t="s">
        <v>19</v>
      </c>
      <c r="D21" s="10" t="s">
        <v>51</v>
      </c>
      <c r="E21" s="10" t="s">
        <v>52</v>
      </c>
      <c r="F21" s="11" t="s">
        <v>22</v>
      </c>
      <c r="G21" s="42" t="s">
        <v>842</v>
      </c>
      <c r="H21" s="11" t="s">
        <v>177</v>
      </c>
      <c r="I21" s="129" t="s">
        <v>843</v>
      </c>
      <c r="J21" s="42" t="s">
        <v>844</v>
      </c>
      <c r="K21" s="42" t="s">
        <v>281</v>
      </c>
      <c r="L21" s="11" t="s">
        <v>845</v>
      </c>
      <c r="M21" s="129" t="s">
        <v>181</v>
      </c>
      <c r="N21" s="11" t="n">
        <v>0</v>
      </c>
      <c r="O21" s="129" t="s">
        <v>846</v>
      </c>
      <c r="P21" s="130"/>
      <c r="S21" s="10" t="s">
        <v>19</v>
      </c>
      <c r="T21" s="10" t="s">
        <v>39</v>
      </c>
      <c r="U21" s="10" t="s">
        <v>40</v>
      </c>
      <c r="V21" s="10" t="s">
        <v>18</v>
      </c>
      <c r="X21" s="1" t="s">
        <v>39</v>
      </c>
      <c r="Y21" s="1" t="s">
        <v>40</v>
      </c>
    </row>
    <row r="22" customFormat="false" ht="15.75" hidden="false" customHeight="true" outlineLevel="0" collapsed="false">
      <c r="A22" s="96"/>
      <c r="B22" s="10" t="s">
        <v>18</v>
      </c>
      <c r="C22" s="10" t="s">
        <v>19</v>
      </c>
      <c r="D22" s="10" t="s">
        <v>67</v>
      </c>
      <c r="E22" s="10" t="s">
        <v>68</v>
      </c>
      <c r="F22" s="11" t="s">
        <v>22</v>
      </c>
      <c r="G22" s="11" t="s">
        <v>887</v>
      </c>
      <c r="H22" s="11" t="s">
        <v>177</v>
      </c>
      <c r="I22" s="11" t="s">
        <v>888</v>
      </c>
      <c r="J22" s="11" t="s">
        <v>659</v>
      </c>
      <c r="K22" s="11" t="s">
        <v>501</v>
      </c>
      <c r="L22" s="11" t="s">
        <v>889</v>
      </c>
      <c r="M22" s="11" t="s">
        <v>181</v>
      </c>
      <c r="N22" s="11" t="n">
        <v>0</v>
      </c>
      <c r="O22" s="11" t="s">
        <v>890</v>
      </c>
      <c r="P22" s="130"/>
      <c r="S22" s="10" t="s">
        <v>19</v>
      </c>
      <c r="T22" s="10" t="s">
        <v>41</v>
      </c>
      <c r="U22" s="10" t="s">
        <v>42</v>
      </c>
      <c r="V22" s="10" t="s">
        <v>18</v>
      </c>
      <c r="X22" s="1" t="s">
        <v>41</v>
      </c>
      <c r="Y22" s="1" t="s">
        <v>42</v>
      </c>
    </row>
    <row r="23" customFormat="false" ht="15.75" hidden="false" customHeight="true" outlineLevel="0" collapsed="false">
      <c r="A23" s="96"/>
      <c r="B23" s="10" t="s">
        <v>18</v>
      </c>
      <c r="C23" s="10" t="s">
        <v>19</v>
      </c>
      <c r="D23" s="10" t="s">
        <v>155</v>
      </c>
      <c r="E23" s="10" t="s">
        <v>156</v>
      </c>
      <c r="F23" s="11" t="s">
        <v>152</v>
      </c>
      <c r="G23" s="129" t="s">
        <v>563</v>
      </c>
      <c r="H23" s="11" t="s">
        <v>564</v>
      </c>
      <c r="I23" s="129" t="s">
        <v>565</v>
      </c>
      <c r="J23" s="42" t="s">
        <v>566</v>
      </c>
      <c r="K23" s="42" t="s">
        <v>253</v>
      </c>
      <c r="L23" s="11" t="s">
        <v>567</v>
      </c>
      <c r="M23" s="129" t="s">
        <v>181</v>
      </c>
      <c r="N23" s="11" t="n">
        <v>0</v>
      </c>
      <c r="O23" s="129" t="n">
        <v>87838540788</v>
      </c>
      <c r="P23" s="130"/>
      <c r="S23" s="10" t="s">
        <v>19</v>
      </c>
      <c r="T23" s="10" t="s">
        <v>43</v>
      </c>
      <c r="U23" s="10" t="s">
        <v>44</v>
      </c>
      <c r="V23" s="10" t="s">
        <v>18</v>
      </c>
      <c r="X23" s="1" t="s">
        <v>43</v>
      </c>
      <c r="Y23" s="1" t="s">
        <v>44</v>
      </c>
    </row>
    <row r="24" customFormat="false" ht="15.75" hidden="false" customHeight="true" outlineLevel="0" collapsed="false">
      <c r="A24" s="96"/>
      <c r="B24" s="10" t="s">
        <v>18</v>
      </c>
      <c r="C24" s="10" t="s">
        <v>19</v>
      </c>
      <c r="D24" s="10" t="s">
        <v>93</v>
      </c>
      <c r="E24" s="10" t="s">
        <v>94</v>
      </c>
      <c r="F24" s="11" t="s">
        <v>22</v>
      </c>
      <c r="G24" s="42" t="s">
        <v>613</v>
      </c>
      <c r="H24" s="11" t="s">
        <v>177</v>
      </c>
      <c r="I24" s="129" t="s">
        <v>614</v>
      </c>
      <c r="J24" s="42" t="s">
        <v>615</v>
      </c>
      <c r="K24" s="42" t="s">
        <v>274</v>
      </c>
      <c r="L24" s="11" t="s">
        <v>616</v>
      </c>
      <c r="M24" s="129" t="s">
        <v>190</v>
      </c>
      <c r="N24" s="11" t="n">
        <v>0</v>
      </c>
      <c r="O24" s="129" t="s">
        <v>617</v>
      </c>
      <c r="P24" s="130"/>
      <c r="S24" s="10" t="s">
        <v>19</v>
      </c>
      <c r="T24" s="10" t="s">
        <v>45</v>
      </c>
      <c r="U24" s="10" t="s">
        <v>46</v>
      </c>
      <c r="V24" s="10" t="s">
        <v>18</v>
      </c>
      <c r="X24" s="1" t="s">
        <v>45</v>
      </c>
      <c r="Y24" s="1" t="s">
        <v>46</v>
      </c>
    </row>
    <row r="25" customFormat="false" ht="15.75" hidden="false" customHeight="true" outlineLevel="0" collapsed="false">
      <c r="A25" s="96"/>
      <c r="B25" s="10" t="s">
        <v>18</v>
      </c>
      <c r="C25" s="10" t="s">
        <v>19</v>
      </c>
      <c r="D25" s="10" t="s">
        <v>41</v>
      </c>
      <c r="E25" s="10" t="s">
        <v>42</v>
      </c>
      <c r="F25" s="11" t="s">
        <v>22</v>
      </c>
      <c r="G25" s="42" t="s">
        <v>724</v>
      </c>
      <c r="H25" s="11" t="s">
        <v>177</v>
      </c>
      <c r="I25" s="129" t="s">
        <v>725</v>
      </c>
      <c r="J25" s="42" t="s">
        <v>726</v>
      </c>
      <c r="K25" s="42" t="s">
        <v>260</v>
      </c>
      <c r="L25" s="11" t="s">
        <v>727</v>
      </c>
      <c r="M25" s="11" t="s">
        <v>728</v>
      </c>
      <c r="N25" s="11" t="n">
        <v>0</v>
      </c>
      <c r="O25" s="129" t="s">
        <v>729</v>
      </c>
      <c r="P25" s="130"/>
      <c r="S25" s="10" t="s">
        <v>19</v>
      </c>
      <c r="T25" s="10" t="s">
        <v>47</v>
      </c>
      <c r="U25" s="10" t="s">
        <v>48</v>
      </c>
      <c r="V25" s="10" t="s">
        <v>18</v>
      </c>
      <c r="X25" s="1" t="s">
        <v>47</v>
      </c>
      <c r="Y25" s="1" t="s">
        <v>48</v>
      </c>
    </row>
    <row r="26" customFormat="false" ht="15.75" hidden="false" customHeight="true" outlineLevel="0" collapsed="false">
      <c r="A26" s="96"/>
      <c r="B26" s="10" t="s">
        <v>18</v>
      </c>
      <c r="C26" s="10" t="s">
        <v>19</v>
      </c>
      <c r="D26" s="10" t="s">
        <v>81</v>
      </c>
      <c r="E26" s="10" t="s">
        <v>82</v>
      </c>
      <c r="F26" s="11" t="s">
        <v>22</v>
      </c>
      <c r="G26" s="42" t="s">
        <v>1038</v>
      </c>
      <c r="H26" s="11" t="s">
        <v>177</v>
      </c>
      <c r="I26" s="129" t="s">
        <v>1039</v>
      </c>
      <c r="J26" s="42" t="s">
        <v>1040</v>
      </c>
      <c r="K26" s="42" t="s">
        <v>710</v>
      </c>
      <c r="L26" s="11" t="s">
        <v>1041</v>
      </c>
      <c r="M26" s="129" t="s">
        <v>190</v>
      </c>
      <c r="N26" s="11" t="n">
        <v>0</v>
      </c>
      <c r="O26" s="129" t="s">
        <v>1042</v>
      </c>
      <c r="P26" s="130"/>
      <c r="S26" s="10" t="s">
        <v>19</v>
      </c>
      <c r="T26" s="10" t="s">
        <v>49</v>
      </c>
      <c r="U26" s="10" t="s">
        <v>50</v>
      </c>
      <c r="V26" s="10" t="s">
        <v>18</v>
      </c>
      <c r="X26" s="1" t="s">
        <v>49</v>
      </c>
      <c r="Y26" s="1" t="s">
        <v>50</v>
      </c>
    </row>
    <row r="27" customFormat="false" ht="15.75" hidden="false" customHeight="true" outlineLevel="0" collapsed="false">
      <c r="A27" s="96"/>
      <c r="B27" s="10" t="s">
        <v>18</v>
      </c>
      <c r="C27" s="10" t="s">
        <v>19</v>
      </c>
      <c r="D27" s="10" t="s">
        <v>117</v>
      </c>
      <c r="E27" s="10" t="s">
        <v>118</v>
      </c>
      <c r="F27" s="11" t="s">
        <v>22</v>
      </c>
      <c r="G27" s="42" t="s">
        <v>1134</v>
      </c>
      <c r="H27" s="11" t="s">
        <v>177</v>
      </c>
      <c r="I27" s="129" t="s">
        <v>1135</v>
      </c>
      <c r="J27" s="42" t="s">
        <v>1040</v>
      </c>
      <c r="K27" s="42" t="s">
        <v>710</v>
      </c>
      <c r="L27" s="11" t="s">
        <v>1136</v>
      </c>
      <c r="M27" s="129" t="s">
        <v>298</v>
      </c>
      <c r="N27" s="11" t="n">
        <v>0</v>
      </c>
      <c r="O27" s="129" t="s">
        <v>1137</v>
      </c>
      <c r="P27" s="130"/>
      <c r="S27" s="10" t="s">
        <v>19</v>
      </c>
      <c r="T27" s="10" t="s">
        <v>51</v>
      </c>
      <c r="U27" s="10" t="s">
        <v>52</v>
      </c>
      <c r="V27" s="10" t="s">
        <v>18</v>
      </c>
      <c r="X27" s="1" t="s">
        <v>51</v>
      </c>
      <c r="Y27" s="1" t="s">
        <v>52</v>
      </c>
    </row>
    <row r="28" customFormat="false" ht="15.75" hidden="false" customHeight="true" outlineLevel="0" collapsed="false">
      <c r="A28" s="96"/>
      <c r="B28" s="10" t="s">
        <v>149</v>
      </c>
      <c r="C28" s="10" t="s">
        <v>19</v>
      </c>
      <c r="D28" s="10" t="s">
        <v>143</v>
      </c>
      <c r="E28" s="10" t="s">
        <v>144</v>
      </c>
      <c r="F28" s="11" t="s">
        <v>22</v>
      </c>
      <c r="G28" s="11" t="s">
        <v>1163</v>
      </c>
      <c r="H28" s="11" t="s">
        <v>177</v>
      </c>
      <c r="I28" s="11" t="s">
        <v>1164</v>
      </c>
      <c r="J28" s="11" t="s">
        <v>1165</v>
      </c>
      <c r="K28" s="11" t="s">
        <v>215</v>
      </c>
      <c r="L28" s="11" t="s">
        <v>1166</v>
      </c>
      <c r="M28" s="11" t="s">
        <v>190</v>
      </c>
      <c r="N28" s="11" t="n">
        <v>0</v>
      </c>
      <c r="O28" s="11" t="n">
        <v>85219345280</v>
      </c>
      <c r="P28" s="130"/>
      <c r="S28" s="10" t="s">
        <v>19</v>
      </c>
      <c r="T28" s="10" t="s">
        <v>53</v>
      </c>
      <c r="U28" s="10" t="s">
        <v>54</v>
      </c>
      <c r="V28" s="10" t="s">
        <v>18</v>
      </c>
      <c r="X28" s="1" t="s">
        <v>53</v>
      </c>
      <c r="Y28" s="1" t="s">
        <v>54</v>
      </c>
    </row>
    <row r="29" customFormat="false" ht="15.75" hidden="false" customHeight="true" outlineLevel="0" collapsed="false">
      <c r="A29" s="96"/>
      <c r="B29" s="10" t="s">
        <v>149</v>
      </c>
      <c r="C29" s="10" t="s">
        <v>19</v>
      </c>
      <c r="D29" s="10" t="s">
        <v>147</v>
      </c>
      <c r="E29" s="10" t="s">
        <v>148</v>
      </c>
      <c r="F29" s="11" t="s">
        <v>22</v>
      </c>
      <c r="G29" s="11" t="s">
        <v>1172</v>
      </c>
      <c r="H29" s="11" t="s">
        <v>177</v>
      </c>
      <c r="I29" s="11" t="s">
        <v>1173</v>
      </c>
      <c r="J29" s="11" t="s">
        <v>389</v>
      </c>
      <c r="K29" s="11" t="s">
        <v>437</v>
      </c>
      <c r="L29" s="11" t="s">
        <v>1174</v>
      </c>
      <c r="M29" s="11" t="s">
        <v>181</v>
      </c>
      <c r="N29" s="11" t="n">
        <v>0</v>
      </c>
      <c r="O29" s="11" t="n">
        <v>85878014014</v>
      </c>
      <c r="P29" s="130"/>
      <c r="S29" s="10" t="s">
        <v>19</v>
      </c>
      <c r="T29" s="10" t="s">
        <v>55</v>
      </c>
      <c r="U29" s="10" t="s">
        <v>56</v>
      </c>
      <c r="V29" s="10" t="s">
        <v>18</v>
      </c>
      <c r="X29" s="1" t="s">
        <v>55</v>
      </c>
      <c r="Y29" s="1" t="s">
        <v>56</v>
      </c>
    </row>
    <row r="30" customFormat="false" ht="15.75" hidden="false" customHeight="true" outlineLevel="0" collapsed="false">
      <c r="A30" s="96"/>
      <c r="B30" s="10" t="s">
        <v>18</v>
      </c>
      <c r="C30" s="10" t="s">
        <v>19</v>
      </c>
      <c r="D30" s="10" t="s">
        <v>25</v>
      </c>
      <c r="E30" s="10" t="s">
        <v>26</v>
      </c>
      <c r="F30" s="11" t="s">
        <v>22</v>
      </c>
      <c r="G30" s="42" t="s">
        <v>218</v>
      </c>
      <c r="H30" s="11" t="s">
        <v>177</v>
      </c>
      <c r="I30" s="129" t="s">
        <v>219</v>
      </c>
      <c r="J30" s="42" t="s">
        <v>220</v>
      </c>
      <c r="K30" s="42" t="s">
        <v>221</v>
      </c>
      <c r="L30" s="11" t="s">
        <v>222</v>
      </c>
      <c r="M30" s="129" t="s">
        <v>181</v>
      </c>
      <c r="N30" s="11" t="n">
        <v>0</v>
      </c>
      <c r="O30" s="129" t="s">
        <v>1176</v>
      </c>
      <c r="P30" s="130"/>
      <c r="S30" s="10" t="s">
        <v>19</v>
      </c>
      <c r="T30" s="10" t="s">
        <v>57</v>
      </c>
      <c r="U30" s="10" t="s">
        <v>58</v>
      </c>
      <c r="V30" s="10" t="s">
        <v>18</v>
      </c>
      <c r="X30" s="1" t="s">
        <v>57</v>
      </c>
      <c r="Y30" s="1" t="s">
        <v>58</v>
      </c>
    </row>
    <row r="31" customFormat="false" ht="15.75" hidden="false" customHeight="true" outlineLevel="0" collapsed="false">
      <c r="A31" s="96"/>
      <c r="B31" s="10" t="s">
        <v>18</v>
      </c>
      <c r="C31" s="10" t="s">
        <v>19</v>
      </c>
      <c r="D31" s="10" t="s">
        <v>39</v>
      </c>
      <c r="E31" s="10" t="s">
        <v>40</v>
      </c>
      <c r="F31" s="11" t="s">
        <v>22</v>
      </c>
      <c r="G31" s="42" t="s">
        <v>713</v>
      </c>
      <c r="H31" s="11" t="s">
        <v>177</v>
      </c>
      <c r="I31" s="129" t="s">
        <v>714</v>
      </c>
      <c r="J31" s="42" t="s">
        <v>715</v>
      </c>
      <c r="K31" s="42" t="s">
        <v>295</v>
      </c>
      <c r="L31" s="11" t="s">
        <v>716</v>
      </c>
      <c r="M31" s="11" t="s">
        <v>181</v>
      </c>
      <c r="N31" s="11" t="n">
        <v>0</v>
      </c>
      <c r="O31" s="129" t="s">
        <v>717</v>
      </c>
      <c r="P31" s="130"/>
      <c r="S31" s="10" t="s">
        <v>19</v>
      </c>
      <c r="T31" s="10" t="s">
        <v>59</v>
      </c>
      <c r="U31" s="10" t="s">
        <v>60</v>
      </c>
      <c r="V31" s="10" t="s">
        <v>18</v>
      </c>
      <c r="X31" s="1" t="s">
        <v>59</v>
      </c>
      <c r="Y31" s="1" t="s">
        <v>60</v>
      </c>
    </row>
    <row r="32" customFormat="false" ht="15.75" hidden="false" customHeight="true" outlineLevel="0" collapsed="false">
      <c r="A32" s="96"/>
      <c r="B32" s="10" t="s">
        <v>149</v>
      </c>
      <c r="C32" s="10" t="s">
        <v>19</v>
      </c>
      <c r="D32" s="10" t="s">
        <v>141</v>
      </c>
      <c r="E32" s="10" t="s">
        <v>142</v>
      </c>
      <c r="F32" s="11" t="s">
        <v>22</v>
      </c>
      <c r="G32" s="11" t="s">
        <v>823</v>
      </c>
      <c r="H32" s="11" t="s">
        <v>185</v>
      </c>
      <c r="I32" s="11" t="s">
        <v>824</v>
      </c>
      <c r="J32" s="11" t="s">
        <v>555</v>
      </c>
      <c r="K32" s="11" t="s">
        <v>437</v>
      </c>
      <c r="L32" s="11" t="s">
        <v>825</v>
      </c>
      <c r="M32" s="11" t="s">
        <v>190</v>
      </c>
      <c r="N32" s="11" t="n">
        <v>0</v>
      </c>
      <c r="O32" s="11" t="s">
        <v>826</v>
      </c>
      <c r="P32" s="130"/>
      <c r="S32" s="10" t="s">
        <v>19</v>
      </c>
      <c r="T32" s="10" t="s">
        <v>61</v>
      </c>
      <c r="U32" s="10" t="s">
        <v>62</v>
      </c>
      <c r="V32" s="10" t="s">
        <v>18</v>
      </c>
      <c r="X32" s="1" t="s">
        <v>61</v>
      </c>
      <c r="Y32" s="1" t="s">
        <v>62</v>
      </c>
    </row>
    <row r="33" customFormat="false" ht="15.75" hidden="false" customHeight="true" outlineLevel="0" collapsed="false">
      <c r="A33" s="96"/>
      <c r="B33" s="10" t="s">
        <v>18</v>
      </c>
      <c r="C33" s="10" t="s">
        <v>19</v>
      </c>
      <c r="D33" s="10" t="s">
        <v>150</v>
      </c>
      <c r="E33" s="10" t="s">
        <v>151</v>
      </c>
      <c r="F33" s="11" t="s">
        <v>152</v>
      </c>
      <c r="G33" s="11" t="s">
        <v>445</v>
      </c>
      <c r="H33" s="11" t="s">
        <v>177</v>
      </c>
      <c r="I33" s="11" t="s">
        <v>446</v>
      </c>
      <c r="J33" s="11" t="s">
        <v>447</v>
      </c>
      <c r="K33" s="11" t="s">
        <v>363</v>
      </c>
      <c r="L33" s="11" t="s">
        <v>448</v>
      </c>
      <c r="M33" s="11" t="s">
        <v>190</v>
      </c>
      <c r="N33" s="11" t="n">
        <v>0</v>
      </c>
      <c r="O33" s="11" t="n">
        <v>81393112233</v>
      </c>
      <c r="P33" s="130"/>
      <c r="S33" s="10" t="s">
        <v>19</v>
      </c>
      <c r="T33" s="10" t="s">
        <v>63</v>
      </c>
      <c r="U33" s="10" t="s">
        <v>64</v>
      </c>
      <c r="V33" s="10" t="s">
        <v>18</v>
      </c>
      <c r="X33" s="1" t="s">
        <v>63</v>
      </c>
      <c r="Y33" s="1" t="s">
        <v>64</v>
      </c>
    </row>
    <row r="34" customFormat="false" ht="15.75" hidden="false" customHeight="true" outlineLevel="0" collapsed="false">
      <c r="A34" s="96"/>
      <c r="B34" s="10" t="s">
        <v>18</v>
      </c>
      <c r="C34" s="10" t="s">
        <v>19</v>
      </c>
      <c r="D34" s="10" t="s">
        <v>89</v>
      </c>
      <c r="E34" s="10" t="s">
        <v>90</v>
      </c>
      <c r="F34" s="11" t="s">
        <v>22</v>
      </c>
      <c r="G34" s="11" t="s">
        <v>1075</v>
      </c>
      <c r="H34" s="11" t="s">
        <v>177</v>
      </c>
      <c r="I34" s="11" t="s">
        <v>1076</v>
      </c>
      <c r="J34" s="11" t="s">
        <v>1077</v>
      </c>
      <c r="K34" s="11" t="s">
        <v>240</v>
      </c>
      <c r="L34" s="11" t="s">
        <v>1078</v>
      </c>
      <c r="M34" s="11" t="s">
        <v>181</v>
      </c>
      <c r="N34" s="11" t="n">
        <v>0</v>
      </c>
      <c r="O34" s="11" t="s">
        <v>1079</v>
      </c>
      <c r="P34" s="130"/>
      <c r="S34" s="10" t="s">
        <v>19</v>
      </c>
      <c r="T34" s="10" t="s">
        <v>65</v>
      </c>
      <c r="U34" s="10" t="s">
        <v>66</v>
      </c>
      <c r="V34" s="10" t="s">
        <v>18</v>
      </c>
      <c r="X34" s="1" t="s">
        <v>65</v>
      </c>
      <c r="Y34" s="1" t="s">
        <v>66</v>
      </c>
    </row>
    <row r="35" customFormat="false" ht="15.75" hidden="false" customHeight="true" outlineLevel="0" collapsed="false">
      <c r="A35" s="96"/>
      <c r="B35" s="10" t="s">
        <v>18</v>
      </c>
      <c r="C35" s="10" t="s">
        <v>19</v>
      </c>
      <c r="D35" s="10" t="s">
        <v>85</v>
      </c>
      <c r="E35" s="10" t="s">
        <v>86</v>
      </c>
      <c r="F35" s="11" t="s">
        <v>22</v>
      </c>
      <c r="G35" s="42" t="s">
        <v>1045</v>
      </c>
      <c r="H35" s="11" t="s">
        <v>177</v>
      </c>
      <c r="I35" s="129" t="s">
        <v>1046</v>
      </c>
      <c r="J35" s="42" t="s">
        <v>320</v>
      </c>
      <c r="K35" s="42" t="s">
        <v>320</v>
      </c>
      <c r="L35" s="11" t="s">
        <v>1047</v>
      </c>
      <c r="M35" s="129" t="s">
        <v>181</v>
      </c>
      <c r="N35" s="11" t="n">
        <v>0</v>
      </c>
      <c r="O35" s="129" t="s">
        <v>1048</v>
      </c>
      <c r="P35" s="130"/>
      <c r="S35" s="10" t="s">
        <v>19</v>
      </c>
      <c r="T35" s="10" t="s">
        <v>67</v>
      </c>
      <c r="U35" s="10" t="s">
        <v>68</v>
      </c>
      <c r="V35" s="10" t="s">
        <v>18</v>
      </c>
      <c r="X35" s="1" t="s">
        <v>67</v>
      </c>
      <c r="Y35" s="1" t="s">
        <v>68</v>
      </c>
    </row>
    <row r="36" customFormat="false" ht="15.75" hidden="false" customHeight="true" outlineLevel="0" collapsed="false">
      <c r="A36" s="96"/>
      <c r="B36" s="10" t="s">
        <v>18</v>
      </c>
      <c r="C36" s="10" t="s">
        <v>19</v>
      </c>
      <c r="D36" s="10" t="s">
        <v>43</v>
      </c>
      <c r="E36" s="10" t="s">
        <v>44</v>
      </c>
      <c r="F36" s="11" t="s">
        <v>22</v>
      </c>
      <c r="G36" s="11" t="s">
        <v>744</v>
      </c>
      <c r="H36" s="11" t="s">
        <v>177</v>
      </c>
      <c r="I36" s="11" t="s">
        <v>745</v>
      </c>
      <c r="J36" s="11" t="s">
        <v>746</v>
      </c>
      <c r="K36" s="11" t="s">
        <v>747</v>
      </c>
      <c r="L36" s="11" t="s">
        <v>180</v>
      </c>
      <c r="M36" s="11" t="s">
        <v>190</v>
      </c>
      <c r="N36" s="11" t="n">
        <v>0</v>
      </c>
      <c r="O36" s="11" t="s">
        <v>748</v>
      </c>
      <c r="P36" s="130"/>
      <c r="S36" s="10" t="s">
        <v>19</v>
      </c>
      <c r="T36" s="10" t="s">
        <v>69</v>
      </c>
      <c r="U36" s="10" t="s">
        <v>70</v>
      </c>
      <c r="V36" s="10" t="s">
        <v>18</v>
      </c>
      <c r="X36" s="1" t="s">
        <v>69</v>
      </c>
      <c r="Y36" s="1" t="s">
        <v>70</v>
      </c>
    </row>
    <row r="37" customFormat="false" ht="15.75" hidden="false" customHeight="true" outlineLevel="0" collapsed="false">
      <c r="A37" s="96"/>
      <c r="B37" s="10" t="s">
        <v>18</v>
      </c>
      <c r="C37" s="10" t="s">
        <v>19</v>
      </c>
      <c r="D37" s="10" t="s">
        <v>33</v>
      </c>
      <c r="E37" s="10" t="s">
        <v>34</v>
      </c>
      <c r="F37" s="11" t="s">
        <v>22</v>
      </c>
      <c r="G37" s="11" t="s">
        <v>1129</v>
      </c>
      <c r="H37" s="11" t="s">
        <v>177</v>
      </c>
      <c r="I37" s="11" t="s">
        <v>1130</v>
      </c>
      <c r="J37" s="11" t="s">
        <v>1131</v>
      </c>
      <c r="K37" s="11" t="s">
        <v>642</v>
      </c>
      <c r="L37" s="11" t="s">
        <v>1132</v>
      </c>
      <c r="M37" s="11" t="s">
        <v>298</v>
      </c>
      <c r="N37" s="11" t="n">
        <v>0</v>
      </c>
      <c r="O37" s="11" t="s">
        <v>1133</v>
      </c>
      <c r="P37" s="130"/>
      <c r="S37" s="10" t="s">
        <v>19</v>
      </c>
      <c r="T37" s="10" t="s">
        <v>71</v>
      </c>
      <c r="U37" s="10" t="s">
        <v>72</v>
      </c>
      <c r="V37" s="10" t="s">
        <v>18</v>
      </c>
      <c r="X37" s="1" t="s">
        <v>71</v>
      </c>
      <c r="Y37" s="1" t="s">
        <v>72</v>
      </c>
    </row>
    <row r="38" customFormat="false" ht="15.75" hidden="false" customHeight="true" outlineLevel="0" collapsed="false">
      <c r="A38" s="96"/>
      <c r="B38" s="10" t="s">
        <v>18</v>
      </c>
      <c r="C38" s="10" t="s">
        <v>19</v>
      </c>
      <c r="D38" s="10" t="s">
        <v>101</v>
      </c>
      <c r="E38" s="10" t="s">
        <v>102</v>
      </c>
      <c r="F38" s="11" t="s">
        <v>22</v>
      </c>
      <c r="G38" s="42" t="s">
        <v>832</v>
      </c>
      <c r="H38" s="11" t="s">
        <v>185</v>
      </c>
      <c r="I38" s="129" t="s">
        <v>833</v>
      </c>
      <c r="J38" s="42" t="s">
        <v>834</v>
      </c>
      <c r="K38" s="42" t="s">
        <v>260</v>
      </c>
      <c r="L38" s="11" t="s">
        <v>835</v>
      </c>
      <c r="M38" s="129" t="s">
        <v>190</v>
      </c>
      <c r="N38" s="11" t="n">
        <v>0</v>
      </c>
      <c r="O38" s="129" t="n">
        <v>85700526414</v>
      </c>
      <c r="P38" s="130"/>
      <c r="S38" s="10" t="s">
        <v>19</v>
      </c>
      <c r="T38" s="10" t="s">
        <v>73</v>
      </c>
      <c r="U38" s="10" t="s">
        <v>74</v>
      </c>
      <c r="V38" s="10" t="s">
        <v>18</v>
      </c>
      <c r="X38" s="1" t="s">
        <v>73</v>
      </c>
      <c r="Y38" s="1" t="s">
        <v>74</v>
      </c>
    </row>
    <row r="39" customFormat="false" ht="15.75" hidden="false" customHeight="true" outlineLevel="0" collapsed="false">
      <c r="A39" s="96"/>
      <c r="B39" s="10" t="s">
        <v>18</v>
      </c>
      <c r="C39" s="10" t="s">
        <v>19</v>
      </c>
      <c r="D39" s="10" t="s">
        <v>55</v>
      </c>
      <c r="E39" s="10" t="s">
        <v>56</v>
      </c>
      <c r="F39" s="11" t="s">
        <v>22</v>
      </c>
      <c r="G39" s="42" t="s">
        <v>750</v>
      </c>
      <c r="H39" s="11" t="s">
        <v>177</v>
      </c>
      <c r="I39" s="129" t="s">
        <v>751</v>
      </c>
      <c r="J39" s="42" t="s">
        <v>465</v>
      </c>
      <c r="K39" s="42" t="s">
        <v>437</v>
      </c>
      <c r="L39" s="11" t="s">
        <v>752</v>
      </c>
      <c r="M39" s="129" t="s">
        <v>181</v>
      </c>
      <c r="N39" s="11" t="n">
        <v>0</v>
      </c>
      <c r="O39" s="129" t="s">
        <v>753</v>
      </c>
      <c r="P39" s="130"/>
      <c r="S39" s="10" t="s">
        <v>19</v>
      </c>
      <c r="T39" s="10" t="s">
        <v>75</v>
      </c>
      <c r="U39" s="10" t="s">
        <v>76</v>
      </c>
      <c r="V39" s="10" t="s">
        <v>18</v>
      </c>
      <c r="X39" s="1" t="s">
        <v>75</v>
      </c>
      <c r="Y39" s="1" t="s">
        <v>76</v>
      </c>
    </row>
    <row r="40" customFormat="false" ht="15.75" hidden="false" customHeight="true" outlineLevel="0" collapsed="false">
      <c r="A40" s="96"/>
      <c r="B40" s="10" t="s">
        <v>18</v>
      </c>
      <c r="C40" s="10" t="s">
        <v>19</v>
      </c>
      <c r="D40" s="10" t="s">
        <v>87</v>
      </c>
      <c r="E40" s="10" t="s">
        <v>88</v>
      </c>
      <c r="F40" s="11" t="s">
        <v>22</v>
      </c>
      <c r="G40" s="42" t="s">
        <v>1060</v>
      </c>
      <c r="H40" s="11" t="s">
        <v>185</v>
      </c>
      <c r="I40" s="129" t="s">
        <v>1061</v>
      </c>
      <c r="J40" s="42" t="s">
        <v>260</v>
      </c>
      <c r="K40" s="42" t="s">
        <v>260</v>
      </c>
      <c r="L40" s="11" t="s">
        <v>1062</v>
      </c>
      <c r="M40" s="11" t="s">
        <v>298</v>
      </c>
      <c r="N40" s="11" t="n">
        <v>0</v>
      </c>
      <c r="O40" s="129" t="s">
        <v>1063</v>
      </c>
      <c r="P40" s="130"/>
      <c r="S40" s="10" t="s">
        <v>19</v>
      </c>
      <c r="T40" s="10" t="s">
        <v>77</v>
      </c>
      <c r="U40" s="10" t="s">
        <v>78</v>
      </c>
      <c r="V40" s="10" t="s">
        <v>18</v>
      </c>
      <c r="X40" s="1" t="s">
        <v>77</v>
      </c>
      <c r="Y40" s="1" t="s">
        <v>78</v>
      </c>
    </row>
    <row r="41" customFormat="false" ht="15.75" hidden="false" customHeight="true" outlineLevel="0" collapsed="false">
      <c r="A41" s="96"/>
      <c r="B41" s="10" t="s">
        <v>18</v>
      </c>
      <c r="C41" s="10" t="s">
        <v>19</v>
      </c>
      <c r="D41" s="10" t="s">
        <v>27</v>
      </c>
      <c r="E41" s="10" t="s">
        <v>28</v>
      </c>
      <c r="F41" s="11" t="s">
        <v>22</v>
      </c>
      <c r="G41" s="42" t="s">
        <v>231</v>
      </c>
      <c r="H41" s="11" t="s">
        <v>185</v>
      </c>
      <c r="I41" s="129" t="s">
        <v>232</v>
      </c>
      <c r="J41" s="42" t="s">
        <v>233</v>
      </c>
      <c r="K41" s="42" t="s">
        <v>234</v>
      </c>
      <c r="L41" s="11" t="s">
        <v>180</v>
      </c>
      <c r="M41" s="129" t="s">
        <v>190</v>
      </c>
      <c r="N41" s="11" t="n">
        <v>0</v>
      </c>
      <c r="O41" s="129" t="s">
        <v>180</v>
      </c>
      <c r="P41" s="130"/>
      <c r="S41" s="10" t="s">
        <v>19</v>
      </c>
      <c r="T41" s="10" t="s">
        <v>79</v>
      </c>
      <c r="U41" s="10" t="s">
        <v>80</v>
      </c>
      <c r="V41" s="10" t="s">
        <v>18</v>
      </c>
      <c r="X41" s="1" t="s">
        <v>79</v>
      </c>
      <c r="Y41" s="1" t="s">
        <v>80</v>
      </c>
    </row>
    <row r="42" customFormat="false" ht="15.75" hidden="false" customHeight="true" outlineLevel="0" collapsed="false">
      <c r="A42" s="96"/>
      <c r="B42" s="10" t="s">
        <v>18</v>
      </c>
      <c r="C42" s="10" t="s">
        <v>19</v>
      </c>
      <c r="D42" s="10" t="s">
        <v>73</v>
      </c>
      <c r="E42" s="10" t="s">
        <v>74</v>
      </c>
      <c r="F42" s="11" t="s">
        <v>22</v>
      </c>
      <c r="G42" s="42" t="s">
        <v>949</v>
      </c>
      <c r="H42" s="11" t="s">
        <v>177</v>
      </c>
      <c r="I42" s="129" t="s">
        <v>950</v>
      </c>
      <c r="J42" s="11" t="s">
        <v>951</v>
      </c>
      <c r="K42" s="11" t="s">
        <v>952</v>
      </c>
      <c r="L42" s="11" t="s">
        <v>953</v>
      </c>
      <c r="M42" s="129" t="s">
        <v>190</v>
      </c>
      <c r="N42" s="11" t="n">
        <v>0</v>
      </c>
      <c r="O42" s="129" t="s">
        <v>954</v>
      </c>
      <c r="P42" s="130"/>
      <c r="S42" s="10" t="s">
        <v>19</v>
      </c>
      <c r="T42" s="10" t="s">
        <v>81</v>
      </c>
      <c r="U42" s="10" t="s">
        <v>82</v>
      </c>
      <c r="V42" s="10" t="s">
        <v>18</v>
      </c>
      <c r="X42" s="1" t="s">
        <v>81</v>
      </c>
      <c r="Y42" s="1" t="s">
        <v>82</v>
      </c>
    </row>
    <row r="43" customFormat="false" ht="15.75" hidden="false" customHeight="true" outlineLevel="0" collapsed="false">
      <c r="A43" s="96"/>
      <c r="B43" s="10" t="s">
        <v>18</v>
      </c>
      <c r="C43" s="10" t="s">
        <v>19</v>
      </c>
      <c r="D43" s="10" t="s">
        <v>75</v>
      </c>
      <c r="E43" s="10" t="s">
        <v>76</v>
      </c>
      <c r="F43" s="11" t="s">
        <v>22</v>
      </c>
      <c r="G43" s="42" t="s">
        <v>964</v>
      </c>
      <c r="H43" s="11" t="s">
        <v>177</v>
      </c>
      <c r="I43" s="129" t="s">
        <v>965</v>
      </c>
      <c r="J43" s="42" t="s">
        <v>966</v>
      </c>
      <c r="K43" s="42" t="s">
        <v>839</v>
      </c>
      <c r="L43" s="11" t="s">
        <v>180</v>
      </c>
      <c r="M43" s="129" t="s">
        <v>181</v>
      </c>
      <c r="N43" s="11" t="n">
        <v>0</v>
      </c>
      <c r="O43" s="129" t="s">
        <v>967</v>
      </c>
      <c r="P43" s="130"/>
      <c r="S43" s="10" t="s">
        <v>19</v>
      </c>
      <c r="T43" s="10" t="s">
        <v>83</v>
      </c>
      <c r="U43" s="10" t="s">
        <v>84</v>
      </c>
      <c r="V43" s="10" t="s">
        <v>18</v>
      </c>
      <c r="X43" s="1" t="s">
        <v>83</v>
      </c>
      <c r="Y43" s="1" t="s">
        <v>84</v>
      </c>
    </row>
    <row r="44" customFormat="false" ht="15.75" hidden="false" customHeight="true" outlineLevel="0" collapsed="false">
      <c r="A44" s="96"/>
      <c r="B44" s="10" t="s">
        <v>18</v>
      </c>
      <c r="C44" s="10" t="s">
        <v>19</v>
      </c>
      <c r="D44" s="10" t="s">
        <v>83</v>
      </c>
      <c r="E44" s="10" t="s">
        <v>84</v>
      </c>
      <c r="F44" s="11" t="s">
        <v>22</v>
      </c>
      <c r="G44" s="42" t="s">
        <v>1043</v>
      </c>
      <c r="H44" s="11" t="s">
        <v>177</v>
      </c>
      <c r="I44" s="129" t="s">
        <v>546</v>
      </c>
      <c r="J44" s="42" t="s">
        <v>547</v>
      </c>
      <c r="K44" s="42" t="s">
        <v>295</v>
      </c>
      <c r="L44" s="11" t="s">
        <v>180</v>
      </c>
      <c r="M44" s="129" t="s">
        <v>190</v>
      </c>
      <c r="N44" s="11" t="n">
        <v>0</v>
      </c>
      <c r="O44" s="129" t="s">
        <v>1044</v>
      </c>
      <c r="P44" s="130"/>
      <c r="S44" s="10" t="s">
        <v>19</v>
      </c>
      <c r="T44" s="10" t="s">
        <v>85</v>
      </c>
      <c r="U44" s="10" t="s">
        <v>86</v>
      </c>
      <c r="V44" s="10" t="s">
        <v>18</v>
      </c>
      <c r="X44" s="1" t="s">
        <v>85</v>
      </c>
      <c r="Y44" s="1" t="s">
        <v>86</v>
      </c>
    </row>
    <row r="45" customFormat="false" ht="15.75" hidden="false" customHeight="true" outlineLevel="0" collapsed="false">
      <c r="A45" s="96"/>
      <c r="B45" s="10" t="s">
        <v>18</v>
      </c>
      <c r="C45" s="10" t="s">
        <v>19</v>
      </c>
      <c r="D45" s="10" t="s">
        <v>20</v>
      </c>
      <c r="E45" s="10" t="s">
        <v>21</v>
      </c>
      <c r="F45" s="11" t="s">
        <v>22</v>
      </c>
      <c r="G45" s="42" t="s">
        <v>176</v>
      </c>
      <c r="H45" s="11" t="s">
        <v>177</v>
      </c>
      <c r="I45" s="129" t="s">
        <v>178</v>
      </c>
      <c r="J45" s="42" t="s">
        <v>179</v>
      </c>
      <c r="K45" s="42" t="s">
        <v>173</v>
      </c>
      <c r="L45" s="132" t="s">
        <v>180</v>
      </c>
      <c r="M45" s="129" t="s">
        <v>181</v>
      </c>
      <c r="N45" s="11" t="n">
        <v>0</v>
      </c>
      <c r="O45" s="11" t="s">
        <v>182</v>
      </c>
      <c r="P45" s="130"/>
      <c r="S45" s="10" t="s">
        <v>19</v>
      </c>
      <c r="T45" s="10" t="s">
        <v>87</v>
      </c>
      <c r="U45" s="10" t="s">
        <v>88</v>
      </c>
      <c r="V45" s="10" t="s">
        <v>18</v>
      </c>
      <c r="X45" s="1" t="s">
        <v>87</v>
      </c>
      <c r="Y45" s="1" t="s">
        <v>88</v>
      </c>
    </row>
    <row r="46" customFormat="false" ht="15.75" hidden="false" customHeight="true" outlineLevel="0" collapsed="false">
      <c r="A46" s="96"/>
      <c r="B46" s="10" t="s">
        <v>149</v>
      </c>
      <c r="C46" s="10" t="s">
        <v>19</v>
      </c>
      <c r="D46" s="10" t="s">
        <v>29</v>
      </c>
      <c r="E46" s="10" t="s">
        <v>30</v>
      </c>
      <c r="F46" s="11" t="s">
        <v>22</v>
      </c>
      <c r="G46" s="42" t="s">
        <v>1159</v>
      </c>
      <c r="H46" s="11" t="s">
        <v>185</v>
      </c>
      <c r="I46" s="129" t="s">
        <v>1160</v>
      </c>
      <c r="J46" s="42" t="s">
        <v>932</v>
      </c>
      <c r="K46" s="42" t="s">
        <v>19</v>
      </c>
      <c r="L46" s="11" t="s">
        <v>1161</v>
      </c>
      <c r="M46" s="129" t="s">
        <v>181</v>
      </c>
      <c r="N46" s="11" t="n">
        <v>0</v>
      </c>
      <c r="O46" s="129" t="s">
        <v>180</v>
      </c>
      <c r="P46" s="130"/>
      <c r="S46" s="10" t="s">
        <v>19</v>
      </c>
      <c r="T46" s="10" t="s">
        <v>89</v>
      </c>
      <c r="U46" s="10" t="s">
        <v>90</v>
      </c>
      <c r="V46" s="10" t="s">
        <v>18</v>
      </c>
      <c r="X46" s="1" t="s">
        <v>89</v>
      </c>
      <c r="Y46" s="1" t="s">
        <v>90</v>
      </c>
    </row>
    <row r="47" customFormat="false" ht="15.75" hidden="false" customHeight="true" outlineLevel="0" collapsed="false">
      <c r="A47" s="96"/>
      <c r="B47" s="10" t="s">
        <v>18</v>
      </c>
      <c r="C47" s="10" t="s">
        <v>19</v>
      </c>
      <c r="D47" s="10" t="s">
        <v>31</v>
      </c>
      <c r="E47" s="10" t="s">
        <v>32</v>
      </c>
      <c r="F47" s="11" t="s">
        <v>22</v>
      </c>
      <c r="G47" s="11" t="s">
        <v>1177</v>
      </c>
      <c r="H47" s="11" t="e">
        <f aca="false">#N/A</f>
        <v>#N/A</v>
      </c>
      <c r="I47" s="11" t="s">
        <v>1178</v>
      </c>
      <c r="J47" s="11" t="s">
        <v>1035</v>
      </c>
      <c r="K47" s="11" t="s">
        <v>677</v>
      </c>
      <c r="L47" s="131" t="s">
        <v>1179</v>
      </c>
      <c r="M47" s="11" t="s">
        <v>190</v>
      </c>
      <c r="N47" s="11" t="n">
        <v>0</v>
      </c>
      <c r="O47" s="11" t="s">
        <v>1180</v>
      </c>
      <c r="P47" s="130"/>
      <c r="S47" s="10" t="s">
        <v>19</v>
      </c>
      <c r="T47" s="10" t="s">
        <v>91</v>
      </c>
      <c r="U47" s="10" t="s">
        <v>92</v>
      </c>
      <c r="V47" s="10" t="s">
        <v>18</v>
      </c>
      <c r="X47" s="1" t="s">
        <v>91</v>
      </c>
      <c r="Y47" s="1" t="s">
        <v>92</v>
      </c>
    </row>
    <row r="48" customFormat="false" ht="15.75" hidden="false" customHeight="true" outlineLevel="0" collapsed="false">
      <c r="A48" s="96"/>
      <c r="B48" s="10" t="s">
        <v>18</v>
      </c>
      <c r="C48" s="10" t="s">
        <v>19</v>
      </c>
      <c r="D48" s="10" t="s">
        <v>57</v>
      </c>
      <c r="E48" s="10" t="s">
        <v>58</v>
      </c>
      <c r="F48" s="11" t="s">
        <v>22</v>
      </c>
      <c r="G48" s="42" t="s">
        <v>1181</v>
      </c>
      <c r="H48" s="11" t="e">
        <f aca="false">#N/A</f>
        <v>#N/A</v>
      </c>
      <c r="I48" s="129" t="s">
        <v>1182</v>
      </c>
      <c r="J48" s="42" t="s">
        <v>1040</v>
      </c>
      <c r="K48" s="42" t="s">
        <v>710</v>
      </c>
      <c r="L48" s="131" t="s">
        <v>1183</v>
      </c>
      <c r="M48" s="129" t="s">
        <v>190</v>
      </c>
      <c r="N48" s="11" t="n">
        <v>0</v>
      </c>
      <c r="O48" s="129" t="s">
        <v>1184</v>
      </c>
      <c r="P48" s="130"/>
      <c r="S48" s="10" t="s">
        <v>19</v>
      </c>
      <c r="T48" s="10" t="s">
        <v>93</v>
      </c>
      <c r="U48" s="10" t="s">
        <v>94</v>
      </c>
      <c r="V48" s="10" t="s">
        <v>18</v>
      </c>
      <c r="X48" s="1" t="s">
        <v>93</v>
      </c>
      <c r="Y48" s="1" t="s">
        <v>94</v>
      </c>
    </row>
    <row r="49" customFormat="false" ht="15.75" hidden="false" customHeight="true" outlineLevel="0" collapsed="false">
      <c r="A49" s="96"/>
      <c r="B49" s="10" t="s">
        <v>18</v>
      </c>
      <c r="C49" s="10" t="s">
        <v>19</v>
      </c>
      <c r="D49" s="10" t="s">
        <v>59</v>
      </c>
      <c r="E49" s="10" t="s">
        <v>60</v>
      </c>
      <c r="F49" s="11" t="s">
        <v>22</v>
      </c>
      <c r="G49" s="42" t="s">
        <v>1185</v>
      </c>
      <c r="H49" s="11" t="e">
        <f aca="false">#N/A</f>
        <v>#N/A</v>
      </c>
      <c r="I49" s="129" t="s">
        <v>1186</v>
      </c>
      <c r="J49" s="42" t="s">
        <v>855</v>
      </c>
      <c r="K49" s="42" t="s">
        <v>710</v>
      </c>
      <c r="L49" s="11" t="s">
        <v>180</v>
      </c>
      <c r="M49" s="129" t="s">
        <v>181</v>
      </c>
      <c r="N49" s="11" t="n">
        <v>0</v>
      </c>
      <c r="O49" s="129" t="e">
        <f aca="false">#N/A</f>
        <v>#N/A</v>
      </c>
      <c r="P49" s="130"/>
      <c r="S49" s="10" t="s">
        <v>19</v>
      </c>
      <c r="T49" s="10" t="s">
        <v>95</v>
      </c>
      <c r="U49" s="10" t="s">
        <v>96</v>
      </c>
      <c r="V49" s="10" t="s">
        <v>18</v>
      </c>
      <c r="X49" s="1" t="s">
        <v>95</v>
      </c>
      <c r="Y49" s="1" t="s">
        <v>96</v>
      </c>
    </row>
    <row r="50" customFormat="false" ht="15.75" hidden="false" customHeight="true" outlineLevel="0" collapsed="false">
      <c r="A50" s="96"/>
      <c r="B50" s="10" t="s">
        <v>18</v>
      </c>
      <c r="C50" s="10" t="s">
        <v>19</v>
      </c>
      <c r="D50" s="10" t="s">
        <v>61</v>
      </c>
      <c r="E50" s="10" t="s">
        <v>62</v>
      </c>
      <c r="F50" s="11" t="s">
        <v>22</v>
      </c>
      <c r="G50" s="42" t="s">
        <v>1187</v>
      </c>
      <c r="H50" s="11" t="e">
        <f aca="false">#N/A</f>
        <v>#N/A</v>
      </c>
      <c r="I50" s="129" t="s">
        <v>1188</v>
      </c>
      <c r="J50" s="42" t="s">
        <v>1189</v>
      </c>
      <c r="K50" s="42" t="s">
        <v>952</v>
      </c>
      <c r="L50" s="131" t="s">
        <v>1190</v>
      </c>
      <c r="M50" s="129" t="s">
        <v>181</v>
      </c>
      <c r="N50" s="11" t="n">
        <v>0</v>
      </c>
      <c r="O50" s="129" t="e">
        <f aca="false">#N/A</f>
        <v>#N/A</v>
      </c>
      <c r="P50" s="130"/>
      <c r="S50" s="10" t="s">
        <v>19</v>
      </c>
      <c r="T50" s="10" t="s">
        <v>97</v>
      </c>
      <c r="U50" s="10" t="s">
        <v>98</v>
      </c>
      <c r="V50" s="10" t="s">
        <v>18</v>
      </c>
      <c r="X50" s="1" t="s">
        <v>97</v>
      </c>
      <c r="Y50" s="1" t="s">
        <v>98</v>
      </c>
    </row>
    <row r="51" customFormat="false" ht="15.75" hidden="false" customHeight="true" outlineLevel="0" collapsed="false">
      <c r="A51" s="96"/>
      <c r="B51" s="10" t="s">
        <v>18</v>
      </c>
      <c r="C51" s="10" t="s">
        <v>19</v>
      </c>
      <c r="D51" s="10" t="s">
        <v>63</v>
      </c>
      <c r="E51" s="10" t="s">
        <v>64</v>
      </c>
      <c r="F51" s="11" t="s">
        <v>22</v>
      </c>
      <c r="G51" s="42" t="s">
        <v>1191</v>
      </c>
      <c r="H51" s="11" t="e">
        <f aca="false">#N/A</f>
        <v>#N/A</v>
      </c>
      <c r="I51" s="129" t="s">
        <v>1192</v>
      </c>
      <c r="J51" s="42" t="s">
        <v>1193</v>
      </c>
      <c r="K51" s="42" t="s">
        <v>710</v>
      </c>
      <c r="L51" s="131" t="s">
        <v>1194</v>
      </c>
      <c r="M51" s="129" t="s">
        <v>181</v>
      </c>
      <c r="N51" s="11" t="n">
        <v>0</v>
      </c>
      <c r="O51" s="129" t="e">
        <f aca="false">#N/A</f>
        <v>#N/A</v>
      </c>
      <c r="P51" s="130"/>
      <c r="S51" s="10" t="s">
        <v>19</v>
      </c>
      <c r="T51" s="10" t="s">
        <v>99</v>
      </c>
      <c r="U51" s="10" t="s">
        <v>100</v>
      </c>
      <c r="V51" s="10" t="s">
        <v>18</v>
      </c>
      <c r="X51" s="1" t="s">
        <v>99</v>
      </c>
      <c r="Y51" s="1" t="s">
        <v>100</v>
      </c>
    </row>
    <row r="52" customFormat="false" ht="15.75" hidden="false" customHeight="true" outlineLevel="0" collapsed="false">
      <c r="A52" s="96"/>
      <c r="B52" s="10" t="s">
        <v>18</v>
      </c>
      <c r="C52" s="10" t="s">
        <v>19</v>
      </c>
      <c r="D52" s="10" t="s">
        <v>65</v>
      </c>
      <c r="E52" s="10" t="s">
        <v>66</v>
      </c>
      <c r="F52" s="11" t="s">
        <v>22</v>
      </c>
      <c r="G52" s="11" t="s">
        <v>1195</v>
      </c>
      <c r="H52" s="11" t="e">
        <f aca="false">#N/A</f>
        <v>#N/A</v>
      </c>
      <c r="I52" s="11" t="s">
        <v>1196</v>
      </c>
      <c r="J52" s="42" t="s">
        <v>1197</v>
      </c>
      <c r="K52" s="42" t="s">
        <v>1088</v>
      </c>
      <c r="L52" s="131" t="s">
        <v>1198</v>
      </c>
      <c r="M52" s="11" t="s">
        <v>181</v>
      </c>
      <c r="N52" s="11" t="n">
        <v>0</v>
      </c>
      <c r="O52" s="11" t="e">
        <f aca="false">#N/A</f>
        <v>#N/A</v>
      </c>
      <c r="P52" s="130"/>
      <c r="S52" s="10" t="s">
        <v>19</v>
      </c>
      <c r="T52" s="10" t="s">
        <v>101</v>
      </c>
      <c r="U52" s="10" t="s">
        <v>102</v>
      </c>
      <c r="V52" s="10" t="s">
        <v>18</v>
      </c>
      <c r="X52" s="1" t="s">
        <v>101</v>
      </c>
      <c r="Y52" s="1" t="s">
        <v>102</v>
      </c>
    </row>
    <row r="53" customFormat="false" ht="15.75" hidden="false" customHeight="true" outlineLevel="0" collapsed="false">
      <c r="A53" s="96"/>
      <c r="B53" s="10" t="s">
        <v>18</v>
      </c>
      <c r="C53" s="10" t="s">
        <v>19</v>
      </c>
      <c r="D53" s="10" t="s">
        <v>69</v>
      </c>
      <c r="E53" s="10" t="s">
        <v>70</v>
      </c>
      <c r="F53" s="11" t="s">
        <v>22</v>
      </c>
      <c r="G53" s="11" t="s">
        <v>1199</v>
      </c>
      <c r="H53" s="11" t="e">
        <f aca="false">#N/A</f>
        <v>#N/A</v>
      </c>
      <c r="I53" s="11" t="s">
        <v>1200</v>
      </c>
      <c r="J53" s="11" t="s">
        <v>1201</v>
      </c>
      <c r="K53" s="11" t="s">
        <v>295</v>
      </c>
      <c r="L53" s="131" t="s">
        <v>1202</v>
      </c>
      <c r="M53" s="11" t="s">
        <v>181</v>
      </c>
      <c r="N53" s="11" t="n">
        <v>0</v>
      </c>
      <c r="O53" s="11" t="e">
        <f aca="false">#N/A</f>
        <v>#N/A</v>
      </c>
      <c r="P53" s="130"/>
      <c r="S53" s="10" t="s">
        <v>19</v>
      </c>
      <c r="T53" s="10" t="s">
        <v>103</v>
      </c>
      <c r="U53" s="10" t="s">
        <v>104</v>
      </c>
      <c r="V53" s="10" t="s">
        <v>18</v>
      </c>
      <c r="X53" s="1" t="s">
        <v>103</v>
      </c>
      <c r="Y53" s="1" t="s">
        <v>104</v>
      </c>
    </row>
    <row r="54" customFormat="false" ht="15.75" hidden="false" customHeight="true" outlineLevel="0" collapsed="false">
      <c r="A54" s="96"/>
      <c r="B54" s="10" t="s">
        <v>18</v>
      </c>
      <c r="C54" s="10" t="s">
        <v>19</v>
      </c>
      <c r="D54" s="10" t="s">
        <v>71</v>
      </c>
      <c r="E54" s="10" t="s">
        <v>72</v>
      </c>
      <c r="F54" s="11" t="s">
        <v>22</v>
      </c>
      <c r="G54" s="11" t="s">
        <v>1203</v>
      </c>
      <c r="H54" s="11" t="e">
        <f aca="false">#N/A</f>
        <v>#N/A</v>
      </c>
      <c r="I54" s="11" t="s">
        <v>1204</v>
      </c>
      <c r="J54" s="11" t="s">
        <v>1088</v>
      </c>
      <c r="K54" s="11" t="s">
        <v>1088</v>
      </c>
      <c r="L54" s="131" t="s">
        <v>1205</v>
      </c>
      <c r="M54" s="11" t="s">
        <v>190</v>
      </c>
      <c r="N54" s="11" t="n">
        <v>0</v>
      </c>
      <c r="O54" s="133" t="n">
        <v>81901447781</v>
      </c>
      <c r="P54" s="130"/>
      <c r="S54" s="10" t="s">
        <v>19</v>
      </c>
      <c r="T54" s="10" t="s">
        <v>105</v>
      </c>
      <c r="U54" s="10" t="s">
        <v>106</v>
      </c>
      <c r="V54" s="10" t="s">
        <v>18</v>
      </c>
      <c r="X54" s="1" t="s">
        <v>105</v>
      </c>
      <c r="Y54" s="1" t="s">
        <v>106</v>
      </c>
    </row>
    <row r="55" customFormat="false" ht="15.75" hidden="false" customHeight="true" outlineLevel="0" collapsed="false">
      <c r="A55" s="96"/>
      <c r="B55" s="10" t="s">
        <v>18</v>
      </c>
      <c r="C55" s="10" t="s">
        <v>19</v>
      </c>
      <c r="D55" s="10" t="s">
        <v>91</v>
      </c>
      <c r="E55" s="10" t="s">
        <v>92</v>
      </c>
      <c r="F55" s="11" t="s">
        <v>22</v>
      </c>
      <c r="G55" s="11" t="s">
        <v>1206</v>
      </c>
      <c r="H55" s="11" t="e">
        <f aca="false">#N/A</f>
        <v>#N/A</v>
      </c>
      <c r="I55" s="11" t="s">
        <v>1207</v>
      </c>
      <c r="J55" s="11" t="s">
        <v>1208</v>
      </c>
      <c r="K55" s="11" t="s">
        <v>320</v>
      </c>
      <c r="L55" s="131" t="s">
        <v>1209</v>
      </c>
      <c r="M55" s="11" t="s">
        <v>190</v>
      </c>
      <c r="N55" s="11" t="n">
        <v>0</v>
      </c>
      <c r="O55" s="11" t="e">
        <f aca="false">#N/A</f>
        <v>#N/A</v>
      </c>
      <c r="P55" s="130"/>
      <c r="S55" s="10" t="s">
        <v>19</v>
      </c>
      <c r="T55" s="10" t="s">
        <v>107</v>
      </c>
      <c r="U55" s="10" t="s">
        <v>108</v>
      </c>
      <c r="V55" s="10" t="s">
        <v>18</v>
      </c>
      <c r="X55" s="1" t="s">
        <v>107</v>
      </c>
      <c r="Y55" s="1" t="s">
        <v>108</v>
      </c>
    </row>
    <row r="56" customFormat="false" ht="15.75" hidden="false" customHeight="true" outlineLevel="0" collapsed="false">
      <c r="A56" s="96"/>
      <c r="B56" s="10" t="s">
        <v>18</v>
      </c>
      <c r="C56" s="10" t="s">
        <v>19</v>
      </c>
      <c r="D56" s="10" t="s">
        <v>97</v>
      </c>
      <c r="E56" s="10" t="s">
        <v>98</v>
      </c>
      <c r="F56" s="11" t="s">
        <v>22</v>
      </c>
      <c r="G56" s="42" t="s">
        <v>1210</v>
      </c>
      <c r="H56" s="11" t="e">
        <f aca="false">#N/A</f>
        <v>#N/A</v>
      </c>
      <c r="I56" s="129" t="s">
        <v>1211</v>
      </c>
      <c r="J56" s="11" t="s">
        <v>1212</v>
      </c>
      <c r="K56" s="11" t="s">
        <v>260</v>
      </c>
      <c r="L56" s="11" t="s">
        <v>180</v>
      </c>
      <c r="M56" s="129" t="s">
        <v>181</v>
      </c>
      <c r="N56" s="11" t="n">
        <v>0</v>
      </c>
      <c r="O56" s="129" t="e">
        <f aca="false">#N/A</f>
        <v>#N/A</v>
      </c>
      <c r="P56" s="130"/>
      <c r="S56" s="10" t="s">
        <v>19</v>
      </c>
      <c r="T56" s="10" t="s">
        <v>109</v>
      </c>
      <c r="U56" s="10" t="s">
        <v>110</v>
      </c>
      <c r="V56" s="10" t="s">
        <v>18</v>
      </c>
      <c r="X56" s="1" t="s">
        <v>109</v>
      </c>
      <c r="Y56" s="1" t="s">
        <v>110</v>
      </c>
    </row>
    <row r="57" customFormat="false" ht="15.75" hidden="false" customHeight="true" outlineLevel="0" collapsed="false">
      <c r="A57" s="96"/>
      <c r="B57" s="10" t="s">
        <v>18</v>
      </c>
      <c r="C57" s="10" t="s">
        <v>19</v>
      </c>
      <c r="D57" s="10" t="s">
        <v>99</v>
      </c>
      <c r="E57" s="10" t="s">
        <v>100</v>
      </c>
      <c r="F57" s="11" t="s">
        <v>22</v>
      </c>
      <c r="G57" s="42" t="s">
        <v>1213</v>
      </c>
      <c r="H57" s="11" t="e">
        <f aca="false">#N/A</f>
        <v>#N/A</v>
      </c>
      <c r="I57" s="129" t="s">
        <v>1214</v>
      </c>
      <c r="J57" s="42" t="s">
        <v>1215</v>
      </c>
      <c r="K57" s="42" t="s">
        <v>677</v>
      </c>
      <c r="L57" s="131" t="s">
        <v>1216</v>
      </c>
      <c r="M57" s="129" t="s">
        <v>190</v>
      </c>
      <c r="N57" s="11" t="n">
        <v>0</v>
      </c>
      <c r="O57" s="129" t="e">
        <f aca="false">#N/A</f>
        <v>#N/A</v>
      </c>
      <c r="P57" s="130"/>
      <c r="S57" s="10" t="s">
        <v>19</v>
      </c>
      <c r="T57" s="10" t="s">
        <v>111</v>
      </c>
      <c r="U57" s="10" t="s">
        <v>112</v>
      </c>
      <c r="V57" s="10" t="s">
        <v>18</v>
      </c>
      <c r="X57" s="1" t="s">
        <v>111</v>
      </c>
      <c r="Y57" s="1" t="s">
        <v>112</v>
      </c>
    </row>
    <row r="58" customFormat="false" ht="15.75" hidden="false" customHeight="true" outlineLevel="0" collapsed="false">
      <c r="A58" s="96"/>
      <c r="B58" s="10" t="s">
        <v>18</v>
      </c>
      <c r="C58" s="10" t="s">
        <v>19</v>
      </c>
      <c r="D58" s="10" t="s">
        <v>103</v>
      </c>
      <c r="E58" s="10" t="s">
        <v>104</v>
      </c>
      <c r="F58" s="11" t="s">
        <v>22</v>
      </c>
      <c r="G58" s="42" t="s">
        <v>1217</v>
      </c>
      <c r="H58" s="11" t="e">
        <f aca="false">#N/A</f>
        <v>#N/A</v>
      </c>
      <c r="I58" s="129" t="s">
        <v>1218</v>
      </c>
      <c r="J58" s="42" t="s">
        <v>1219</v>
      </c>
      <c r="K58" s="42" t="s">
        <v>710</v>
      </c>
      <c r="L58" s="131" t="s">
        <v>1220</v>
      </c>
      <c r="M58" s="129" t="s">
        <v>190</v>
      </c>
      <c r="N58" s="11" t="n">
        <v>0</v>
      </c>
      <c r="O58" s="133" t="n">
        <v>81328727744</v>
      </c>
      <c r="P58" s="130"/>
      <c r="S58" s="10" t="s">
        <v>19</v>
      </c>
      <c r="T58" s="10" t="s">
        <v>113</v>
      </c>
      <c r="U58" s="10" t="s">
        <v>114</v>
      </c>
      <c r="V58" s="10" t="s">
        <v>18</v>
      </c>
      <c r="X58" s="1" t="s">
        <v>113</v>
      </c>
      <c r="Y58" s="1" t="s">
        <v>114</v>
      </c>
    </row>
    <row r="59" customFormat="false" ht="15.75" hidden="false" customHeight="true" outlineLevel="0" collapsed="false">
      <c r="A59" s="96"/>
      <c r="B59" s="10" t="s">
        <v>18</v>
      </c>
      <c r="C59" s="10" t="s">
        <v>19</v>
      </c>
      <c r="D59" s="10" t="s">
        <v>105</v>
      </c>
      <c r="E59" s="10" t="s">
        <v>106</v>
      </c>
      <c r="F59" s="11" t="s">
        <v>22</v>
      </c>
      <c r="G59" s="42" t="s">
        <v>1221</v>
      </c>
      <c r="H59" s="11" t="e">
        <f aca="false">#N/A</f>
        <v>#N/A</v>
      </c>
      <c r="I59" s="129" t="s">
        <v>1222</v>
      </c>
      <c r="J59" s="42" t="s">
        <v>1223</v>
      </c>
      <c r="K59" s="42" t="s">
        <v>1224</v>
      </c>
      <c r="L59" s="11" t="s">
        <v>180</v>
      </c>
      <c r="M59" s="11" t="s">
        <v>298</v>
      </c>
      <c r="N59" s="11" t="n">
        <v>0</v>
      </c>
      <c r="O59" s="133" t="n">
        <v>81904846557</v>
      </c>
      <c r="P59" s="130"/>
      <c r="S59" s="10" t="s">
        <v>19</v>
      </c>
      <c r="T59" s="10" t="s">
        <v>115</v>
      </c>
      <c r="U59" s="10" t="s">
        <v>116</v>
      </c>
      <c r="V59" s="10" t="s">
        <v>18</v>
      </c>
      <c r="X59" s="1" t="s">
        <v>115</v>
      </c>
      <c r="Y59" s="1" t="s">
        <v>116</v>
      </c>
    </row>
    <row r="60" customFormat="false" ht="15.75" hidden="false" customHeight="true" outlineLevel="0" collapsed="false">
      <c r="A60" s="96"/>
      <c r="B60" s="10" t="s">
        <v>18</v>
      </c>
      <c r="C60" s="10" t="s">
        <v>19</v>
      </c>
      <c r="D60" s="10" t="s">
        <v>109</v>
      </c>
      <c r="E60" s="10" t="s">
        <v>110</v>
      </c>
      <c r="F60" s="11" t="s">
        <v>22</v>
      </c>
      <c r="G60" s="129" t="s">
        <v>1225</v>
      </c>
      <c r="H60" s="11" t="e">
        <f aca="false">#N/A</f>
        <v>#N/A</v>
      </c>
      <c r="I60" s="129" t="s">
        <v>1226</v>
      </c>
      <c r="J60" s="11" t="s">
        <v>179</v>
      </c>
      <c r="K60" s="11" t="s">
        <v>173</v>
      </c>
      <c r="L60" s="131" t="s">
        <v>1227</v>
      </c>
      <c r="M60" s="129" t="s">
        <v>298</v>
      </c>
      <c r="N60" s="11" t="n">
        <v>0</v>
      </c>
      <c r="O60" s="133" t="n">
        <v>87722192614</v>
      </c>
      <c r="P60" s="130"/>
      <c r="S60" s="10" t="s">
        <v>19</v>
      </c>
      <c r="T60" s="10" t="s">
        <v>117</v>
      </c>
      <c r="U60" s="10" t="s">
        <v>118</v>
      </c>
      <c r="V60" s="10" t="s">
        <v>18</v>
      </c>
      <c r="X60" s="1" t="s">
        <v>117</v>
      </c>
      <c r="Y60" s="1" t="s">
        <v>118</v>
      </c>
    </row>
    <row r="61" customFormat="false" ht="15.75" hidden="false" customHeight="true" outlineLevel="0" collapsed="false">
      <c r="A61" s="96"/>
      <c r="B61" s="10" t="s">
        <v>18</v>
      </c>
      <c r="C61" s="10" t="s">
        <v>19</v>
      </c>
      <c r="D61" s="10" t="s">
        <v>111</v>
      </c>
      <c r="E61" s="10" t="s">
        <v>112</v>
      </c>
      <c r="F61" s="11" t="s">
        <v>22</v>
      </c>
      <c r="G61" s="42" t="s">
        <v>1228</v>
      </c>
      <c r="H61" s="11" t="e">
        <f aca="false">#N/A</f>
        <v>#N/A</v>
      </c>
      <c r="I61" s="129" t="s">
        <v>1229</v>
      </c>
      <c r="J61" s="42" t="s">
        <v>1230</v>
      </c>
      <c r="K61" s="42" t="s">
        <v>396</v>
      </c>
      <c r="L61" s="11" t="s">
        <v>180</v>
      </c>
      <c r="M61" s="11" t="s">
        <v>190</v>
      </c>
      <c r="N61" s="11" t="n">
        <v>0</v>
      </c>
      <c r="O61" s="129" t="e">
        <f aca="false">#N/A</f>
        <v>#N/A</v>
      </c>
      <c r="P61" s="130"/>
      <c r="S61" s="10" t="s">
        <v>19</v>
      </c>
      <c r="T61" s="10" t="s">
        <v>119</v>
      </c>
      <c r="U61" s="10" t="s">
        <v>120</v>
      </c>
      <c r="V61" s="10" t="s">
        <v>18</v>
      </c>
      <c r="X61" s="1" t="s">
        <v>119</v>
      </c>
      <c r="Y61" s="1" t="s">
        <v>120</v>
      </c>
    </row>
    <row r="62" customFormat="false" ht="15.75" hidden="false" customHeight="true" outlineLevel="0" collapsed="false">
      <c r="A62" s="96"/>
      <c r="B62" s="10" t="s">
        <v>18</v>
      </c>
      <c r="C62" s="10" t="s">
        <v>19</v>
      </c>
      <c r="D62" s="10" t="s">
        <v>113</v>
      </c>
      <c r="E62" s="10" t="s">
        <v>114</v>
      </c>
      <c r="F62" s="11" t="s">
        <v>22</v>
      </c>
      <c r="G62" s="42" t="s">
        <v>1231</v>
      </c>
      <c r="H62" s="11" t="e">
        <f aca="false">#N/A</f>
        <v>#N/A</v>
      </c>
      <c r="I62" s="129" t="s">
        <v>1232</v>
      </c>
      <c r="J62" s="42" t="s">
        <v>1233</v>
      </c>
      <c r="K62" s="42" t="s">
        <v>312</v>
      </c>
      <c r="L62" s="131" t="s">
        <v>1234</v>
      </c>
      <c r="M62" s="11" t="s">
        <v>190</v>
      </c>
      <c r="N62" s="11" t="n">
        <v>0</v>
      </c>
      <c r="O62" s="133" t="s">
        <v>1235</v>
      </c>
      <c r="P62" s="130"/>
      <c r="S62" s="10" t="s">
        <v>19</v>
      </c>
      <c r="T62" s="10" t="s">
        <v>121</v>
      </c>
      <c r="U62" s="10" t="s">
        <v>122</v>
      </c>
      <c r="V62" s="10" t="s">
        <v>18</v>
      </c>
      <c r="X62" s="1" t="s">
        <v>121</v>
      </c>
      <c r="Y62" s="1" t="s">
        <v>122</v>
      </c>
    </row>
    <row r="63" customFormat="false" ht="15.75" hidden="false" customHeight="true" outlineLevel="0" collapsed="false">
      <c r="A63" s="96"/>
      <c r="B63" s="10" t="s">
        <v>18</v>
      </c>
      <c r="C63" s="10" t="s">
        <v>19</v>
      </c>
      <c r="D63" s="10" t="s">
        <v>115</v>
      </c>
      <c r="E63" s="10" t="s">
        <v>116</v>
      </c>
      <c r="F63" s="11" t="s">
        <v>22</v>
      </c>
      <c r="G63" s="11" t="s">
        <v>1236</v>
      </c>
      <c r="H63" s="11" t="e">
        <f aca="false">#N/A</f>
        <v>#N/A</v>
      </c>
      <c r="I63" s="11" t="s">
        <v>1237</v>
      </c>
      <c r="J63" s="11" t="s">
        <v>1238</v>
      </c>
      <c r="K63" s="11" t="s">
        <v>710</v>
      </c>
      <c r="L63" s="131" t="s">
        <v>1239</v>
      </c>
      <c r="M63" s="11" t="s">
        <v>181</v>
      </c>
      <c r="N63" s="11" t="n">
        <v>0</v>
      </c>
      <c r="O63" s="11" t="n">
        <v>88216548409</v>
      </c>
      <c r="P63" s="130"/>
      <c r="S63" s="10" t="s">
        <v>19</v>
      </c>
      <c r="T63" s="10" t="s">
        <v>123</v>
      </c>
      <c r="U63" s="10" t="s">
        <v>124</v>
      </c>
      <c r="V63" s="10" t="s">
        <v>18</v>
      </c>
      <c r="X63" s="1" t="s">
        <v>123</v>
      </c>
      <c r="Y63" s="1" t="s">
        <v>124</v>
      </c>
    </row>
    <row r="64" customFormat="false" ht="15.75" hidden="false" customHeight="true" outlineLevel="0" collapsed="false">
      <c r="A64" s="96"/>
      <c r="B64" s="10" t="s">
        <v>18</v>
      </c>
      <c r="C64" s="10" t="s">
        <v>19</v>
      </c>
      <c r="D64" s="10" t="s">
        <v>125</v>
      </c>
      <c r="E64" s="10" t="s">
        <v>126</v>
      </c>
      <c r="F64" s="11" t="s">
        <v>22</v>
      </c>
      <c r="G64" s="11" t="s">
        <v>1240</v>
      </c>
      <c r="H64" s="11" t="e">
        <f aca="false">#N/A</f>
        <v>#N/A</v>
      </c>
      <c r="I64" s="11" t="s">
        <v>1241</v>
      </c>
      <c r="J64" s="11" t="s">
        <v>1242</v>
      </c>
      <c r="K64" s="11" t="s">
        <v>1088</v>
      </c>
      <c r="L64" s="131" t="s">
        <v>1243</v>
      </c>
      <c r="M64" s="11" t="s">
        <v>181</v>
      </c>
      <c r="N64" s="11" t="n">
        <v>0</v>
      </c>
      <c r="O64" s="11" t="e">
        <f aca="false">#N/A</f>
        <v>#N/A</v>
      </c>
      <c r="P64" s="130"/>
      <c r="S64" s="10" t="s">
        <v>19</v>
      </c>
      <c r="T64" s="10" t="s">
        <v>125</v>
      </c>
      <c r="U64" s="10" t="s">
        <v>126</v>
      </c>
      <c r="V64" s="10" t="s">
        <v>18</v>
      </c>
      <c r="X64" s="1" t="s">
        <v>125</v>
      </c>
      <c r="Y64" s="1" t="s">
        <v>126</v>
      </c>
    </row>
    <row r="65" customFormat="false" ht="15.75" hidden="false" customHeight="true" outlineLevel="0" collapsed="false">
      <c r="A65" s="96"/>
      <c r="B65" s="10" t="s">
        <v>18</v>
      </c>
      <c r="C65" s="10" t="s">
        <v>19</v>
      </c>
      <c r="D65" s="10" t="s">
        <v>127</v>
      </c>
      <c r="E65" s="10" t="s">
        <v>128</v>
      </c>
      <c r="F65" s="11" t="s">
        <v>22</v>
      </c>
      <c r="G65" s="42" t="s">
        <v>1244</v>
      </c>
      <c r="H65" s="11" t="e">
        <f aca="false">#N/A</f>
        <v>#N/A</v>
      </c>
      <c r="I65" s="129" t="s">
        <v>1245</v>
      </c>
      <c r="J65" s="42" t="s">
        <v>1246</v>
      </c>
      <c r="K65" s="42" t="s">
        <v>295</v>
      </c>
      <c r="L65" s="131" t="s">
        <v>1247</v>
      </c>
      <c r="M65" s="11" t="s">
        <v>190</v>
      </c>
      <c r="N65" s="11" t="n">
        <v>0</v>
      </c>
      <c r="O65" s="129" t="n">
        <v>82135889400</v>
      </c>
      <c r="P65" s="130"/>
      <c r="S65" s="10" t="s">
        <v>19</v>
      </c>
      <c r="T65" s="10" t="s">
        <v>127</v>
      </c>
      <c r="U65" s="10" t="s">
        <v>128</v>
      </c>
      <c r="V65" s="10" t="s">
        <v>18</v>
      </c>
      <c r="X65" s="1" t="s">
        <v>127</v>
      </c>
      <c r="Y65" s="1" t="s">
        <v>128</v>
      </c>
    </row>
    <row r="66" customFormat="false" ht="15.75" hidden="false" customHeight="true" outlineLevel="0" collapsed="false">
      <c r="A66" s="96"/>
      <c r="B66" s="10" t="s">
        <v>18</v>
      </c>
      <c r="C66" s="10" t="s">
        <v>19</v>
      </c>
      <c r="D66" s="10" t="s">
        <v>129</v>
      </c>
      <c r="E66" s="10" t="s">
        <v>130</v>
      </c>
      <c r="F66" s="11" t="s">
        <v>22</v>
      </c>
      <c r="G66" s="11" t="s">
        <v>961</v>
      </c>
      <c r="H66" s="11" t="e">
        <f aca="false">#N/A</f>
        <v>#N/A</v>
      </c>
      <c r="I66" s="11" t="s">
        <v>962</v>
      </c>
      <c r="J66" s="11" t="s">
        <v>1219</v>
      </c>
      <c r="K66" s="11" t="s">
        <v>173</v>
      </c>
      <c r="L66" s="131" t="s">
        <v>1248</v>
      </c>
      <c r="M66" s="11" t="s">
        <v>190</v>
      </c>
      <c r="N66" s="11" t="n">
        <v>0</v>
      </c>
      <c r="O66" s="133" t="n">
        <v>82328225543</v>
      </c>
      <c r="P66" s="130"/>
      <c r="S66" s="10" t="s">
        <v>19</v>
      </c>
      <c r="T66" s="10" t="s">
        <v>129</v>
      </c>
      <c r="U66" s="10" t="s">
        <v>130</v>
      </c>
      <c r="V66" s="10" t="s">
        <v>18</v>
      </c>
      <c r="X66" s="1" t="s">
        <v>129</v>
      </c>
      <c r="Y66" s="1" t="s">
        <v>130</v>
      </c>
    </row>
    <row r="67" customFormat="false" ht="15.75" hidden="false" customHeight="true" outlineLevel="0" collapsed="false">
      <c r="A67" s="96"/>
      <c r="B67" s="10" t="s">
        <v>18</v>
      </c>
      <c r="C67" s="10" t="s">
        <v>19</v>
      </c>
      <c r="D67" s="10" t="s">
        <v>133</v>
      </c>
      <c r="E67" s="10" t="s">
        <v>134</v>
      </c>
      <c r="F67" s="11" t="s">
        <v>22</v>
      </c>
      <c r="G67" s="42" t="s">
        <v>1249</v>
      </c>
      <c r="H67" s="11" t="e">
        <f aca="false">#N/A</f>
        <v>#N/A</v>
      </c>
      <c r="I67" s="129" t="s">
        <v>1250</v>
      </c>
      <c r="J67" s="42" t="s">
        <v>179</v>
      </c>
      <c r="K67" s="42" t="s">
        <v>173</v>
      </c>
      <c r="L67" s="131" t="s">
        <v>1251</v>
      </c>
      <c r="M67" s="11" t="s">
        <v>190</v>
      </c>
      <c r="N67" s="11" t="n">
        <v>0</v>
      </c>
      <c r="O67" s="133" t="n">
        <v>85293376162</v>
      </c>
      <c r="P67" s="130"/>
      <c r="S67" s="10" t="s">
        <v>19</v>
      </c>
      <c r="T67" s="10" t="s">
        <v>131</v>
      </c>
      <c r="U67" s="10" t="s">
        <v>132</v>
      </c>
      <c r="V67" s="10" t="s">
        <v>18</v>
      </c>
      <c r="X67" s="1" t="s">
        <v>131</v>
      </c>
      <c r="Y67" s="1" t="s">
        <v>132</v>
      </c>
    </row>
    <row r="68" customFormat="false" ht="15.75" hidden="false" customHeight="true" outlineLevel="0" collapsed="false">
      <c r="A68" s="96"/>
      <c r="B68" s="10" t="s">
        <v>149</v>
      </c>
      <c r="C68" s="10" t="s">
        <v>19</v>
      </c>
      <c r="D68" s="10" t="s">
        <v>135</v>
      </c>
      <c r="E68" s="10" t="s">
        <v>136</v>
      </c>
      <c r="F68" s="11" t="s">
        <v>22</v>
      </c>
      <c r="G68" s="11" t="s">
        <v>1252</v>
      </c>
      <c r="H68" s="11" t="e">
        <f aca="false">#N/A</f>
        <v>#N/A</v>
      </c>
      <c r="I68" s="11" t="s">
        <v>1253</v>
      </c>
      <c r="J68" s="11" t="s">
        <v>1254</v>
      </c>
      <c r="K68" s="11" t="s">
        <v>454</v>
      </c>
      <c r="L68" s="131" t="s">
        <v>1255</v>
      </c>
      <c r="M68" s="11" t="s">
        <v>181</v>
      </c>
      <c r="N68" s="11" t="n">
        <v>0</v>
      </c>
      <c r="O68" s="133" t="n">
        <v>82325317730</v>
      </c>
      <c r="P68" s="130"/>
      <c r="S68" s="10" t="s">
        <v>19</v>
      </c>
      <c r="T68" s="10" t="s">
        <v>133</v>
      </c>
      <c r="U68" s="10" t="s">
        <v>134</v>
      </c>
      <c r="V68" s="10" t="s">
        <v>18</v>
      </c>
      <c r="X68" s="1" t="s">
        <v>133</v>
      </c>
      <c r="Y68" s="1" t="s">
        <v>134</v>
      </c>
    </row>
    <row r="69" customFormat="false" ht="15.75" hidden="false" customHeight="true" outlineLevel="0" collapsed="false">
      <c r="A69" s="96"/>
      <c r="B69" s="10" t="s">
        <v>149</v>
      </c>
      <c r="C69" s="10" t="s">
        <v>19</v>
      </c>
      <c r="D69" s="10" t="s">
        <v>137</v>
      </c>
      <c r="E69" s="10" t="s">
        <v>138</v>
      </c>
      <c r="F69" s="11" t="s">
        <v>22</v>
      </c>
      <c r="G69" s="129" t="s">
        <v>1256</v>
      </c>
      <c r="H69" s="11" t="e">
        <f aca="false">#N/A</f>
        <v>#N/A</v>
      </c>
      <c r="I69" s="129" t="s">
        <v>1257</v>
      </c>
      <c r="J69" s="42" t="s">
        <v>1258</v>
      </c>
      <c r="K69" s="42" t="s">
        <v>437</v>
      </c>
      <c r="L69" s="131" t="s">
        <v>1259</v>
      </c>
      <c r="M69" s="129" t="s">
        <v>298</v>
      </c>
      <c r="N69" s="11" t="n">
        <v>0</v>
      </c>
      <c r="O69" s="133" t="n">
        <v>83842462334</v>
      </c>
      <c r="P69" s="130"/>
      <c r="S69" s="10" t="s">
        <v>19</v>
      </c>
      <c r="T69" s="10" t="s">
        <v>135</v>
      </c>
      <c r="U69" s="10" t="s">
        <v>136</v>
      </c>
      <c r="V69" s="10" t="s">
        <v>149</v>
      </c>
      <c r="X69" s="1" t="s">
        <v>135</v>
      </c>
      <c r="Y69" s="1" t="s">
        <v>136</v>
      </c>
    </row>
    <row r="70" customFormat="false" ht="15.75" hidden="false" customHeight="true" outlineLevel="0" collapsed="false">
      <c r="A70" s="96"/>
      <c r="B70" s="10" t="s">
        <v>149</v>
      </c>
      <c r="C70" s="10" t="s">
        <v>19</v>
      </c>
      <c r="D70" s="10" t="s">
        <v>139</v>
      </c>
      <c r="E70" s="10" t="s">
        <v>140</v>
      </c>
      <c r="F70" s="11" t="s">
        <v>22</v>
      </c>
      <c r="G70" s="11" t="s">
        <v>1260</v>
      </c>
      <c r="H70" s="11" t="e">
        <f aca="false">#N/A</f>
        <v>#N/A</v>
      </c>
      <c r="I70" s="11" t="s">
        <v>1261</v>
      </c>
      <c r="J70" s="11" t="s">
        <v>173</v>
      </c>
      <c r="K70" s="11" t="s">
        <v>173</v>
      </c>
      <c r="L70" s="131" t="s">
        <v>1262</v>
      </c>
      <c r="M70" s="11" t="s">
        <v>190</v>
      </c>
      <c r="N70" s="11" t="n">
        <v>0</v>
      </c>
      <c r="O70" s="133" t="n">
        <v>82328129159</v>
      </c>
      <c r="P70" s="130"/>
      <c r="S70" s="10" t="s">
        <v>19</v>
      </c>
      <c r="T70" s="10" t="s">
        <v>137</v>
      </c>
      <c r="U70" s="10" t="s">
        <v>138</v>
      </c>
      <c r="V70" s="10" t="s">
        <v>149</v>
      </c>
      <c r="X70" s="1" t="s">
        <v>137</v>
      </c>
      <c r="Y70" s="1" t="s">
        <v>138</v>
      </c>
    </row>
    <row r="71" customFormat="false" ht="15.75" hidden="false" customHeight="true" outlineLevel="0" collapsed="false">
      <c r="A71" s="96"/>
      <c r="B71" s="10" t="s">
        <v>149</v>
      </c>
      <c r="C71" s="10" t="s">
        <v>19</v>
      </c>
      <c r="D71" s="10" t="s">
        <v>145</v>
      </c>
      <c r="E71" s="10" t="s">
        <v>146</v>
      </c>
      <c r="F71" s="11" t="s">
        <v>22</v>
      </c>
      <c r="G71" s="11" t="s">
        <v>1263</v>
      </c>
      <c r="H71" s="11" t="e">
        <f aca="false">#N/A</f>
        <v>#N/A</v>
      </c>
      <c r="I71" s="11" t="s">
        <v>1264</v>
      </c>
      <c r="J71" s="11" t="s">
        <v>1265</v>
      </c>
      <c r="K71" s="11" t="s">
        <v>1266</v>
      </c>
      <c r="L71" s="131" t="s">
        <v>1267</v>
      </c>
      <c r="M71" s="11" t="s">
        <v>190</v>
      </c>
      <c r="N71" s="11" t="n">
        <v>0</v>
      </c>
      <c r="O71" s="133" t="n">
        <v>88215041960</v>
      </c>
      <c r="P71" s="130"/>
      <c r="S71" s="10" t="s">
        <v>19</v>
      </c>
      <c r="T71" s="10" t="s">
        <v>139</v>
      </c>
      <c r="U71" s="10" t="s">
        <v>140</v>
      </c>
      <c r="V71" s="10" t="s">
        <v>149</v>
      </c>
      <c r="X71" s="1" t="s">
        <v>139</v>
      </c>
      <c r="Y71" s="1" t="s">
        <v>140</v>
      </c>
    </row>
    <row r="72" customFormat="false" ht="15.75" hidden="false" customHeight="true" outlineLevel="0" collapsed="false">
      <c r="A72" s="96"/>
      <c r="B72" s="10" t="s">
        <v>18</v>
      </c>
      <c r="C72" s="10" t="s">
        <v>19</v>
      </c>
      <c r="D72" s="10" t="s">
        <v>157</v>
      </c>
      <c r="E72" s="10" t="s">
        <v>158</v>
      </c>
      <c r="F72" s="11" t="s">
        <v>152</v>
      </c>
      <c r="G72" s="42" t="s">
        <v>1268</v>
      </c>
      <c r="H72" s="11" t="e">
        <f aca="false">#N/A</f>
        <v>#N/A</v>
      </c>
      <c r="I72" s="129" t="s">
        <v>1269</v>
      </c>
      <c r="J72" s="42" t="s">
        <v>1270</v>
      </c>
      <c r="K72" s="42" t="s">
        <v>274</v>
      </c>
      <c r="L72" s="131" t="s">
        <v>1271</v>
      </c>
      <c r="M72" s="11" t="s">
        <v>181</v>
      </c>
      <c r="N72" s="11" t="n">
        <v>0</v>
      </c>
      <c r="O72" s="133" t="n">
        <v>89505466953</v>
      </c>
      <c r="P72" s="130"/>
      <c r="S72" s="10" t="s">
        <v>19</v>
      </c>
      <c r="T72" s="10" t="s">
        <v>141</v>
      </c>
      <c r="U72" s="10" t="s">
        <v>142</v>
      </c>
      <c r="V72" s="10" t="s">
        <v>149</v>
      </c>
      <c r="X72" s="1" t="s">
        <v>141</v>
      </c>
      <c r="Y72" s="1" t="s">
        <v>142</v>
      </c>
    </row>
    <row r="73" customFormat="false" ht="15.75" hidden="false" customHeight="true" outlineLevel="0" collapsed="false">
      <c r="A73" s="96"/>
      <c r="B73" s="10" t="s">
        <v>18</v>
      </c>
      <c r="C73" s="10" t="s">
        <v>19</v>
      </c>
      <c r="D73" s="10" t="s">
        <v>161</v>
      </c>
      <c r="E73" s="10" t="s">
        <v>162</v>
      </c>
      <c r="F73" s="11" t="s">
        <v>152</v>
      </c>
      <c r="G73" s="11" t="s">
        <v>1272</v>
      </c>
      <c r="H73" s="11" t="e">
        <f aca="false">#N/A</f>
        <v>#N/A</v>
      </c>
      <c r="I73" s="11" t="s">
        <v>1273</v>
      </c>
      <c r="J73" s="11" t="s">
        <v>312</v>
      </c>
      <c r="K73" s="11" t="s">
        <v>312</v>
      </c>
      <c r="L73" s="131" t="s">
        <v>1274</v>
      </c>
      <c r="M73" s="11" t="s">
        <v>190</v>
      </c>
      <c r="N73" s="11" t="n">
        <v>0</v>
      </c>
      <c r="O73" s="133" t="n">
        <v>81340158177</v>
      </c>
      <c r="P73" s="130"/>
      <c r="S73" s="10" t="s">
        <v>19</v>
      </c>
      <c r="T73" s="10" t="s">
        <v>29</v>
      </c>
      <c r="U73" s="10" t="s">
        <v>30</v>
      </c>
      <c r="V73" s="10" t="s">
        <v>149</v>
      </c>
      <c r="X73" s="1" t="s">
        <v>29</v>
      </c>
      <c r="Y73" s="1" t="s">
        <v>30</v>
      </c>
    </row>
    <row r="74" customFormat="false" ht="15.75" hidden="false" customHeight="true" outlineLevel="0" collapsed="false">
      <c r="A74" s="96"/>
      <c r="B74" s="10" t="s">
        <v>18</v>
      </c>
      <c r="C74" s="10" t="s">
        <v>19</v>
      </c>
      <c r="D74" s="10" t="s">
        <v>163</v>
      </c>
      <c r="E74" s="10" t="s">
        <v>164</v>
      </c>
      <c r="F74" s="11" t="s">
        <v>152</v>
      </c>
      <c r="G74" s="129" t="s">
        <v>1275</v>
      </c>
      <c r="H74" s="11" t="e">
        <f aca="false">#N/A</f>
        <v>#N/A</v>
      </c>
      <c r="I74" s="129" t="s">
        <v>1276</v>
      </c>
      <c r="J74" s="42" t="s">
        <v>1277</v>
      </c>
      <c r="K74" s="42" t="s">
        <v>274</v>
      </c>
      <c r="L74" s="131" t="s">
        <v>1278</v>
      </c>
      <c r="M74" s="129" t="s">
        <v>298</v>
      </c>
      <c r="N74" s="11" t="n">
        <v>0</v>
      </c>
      <c r="O74" s="133" t="s">
        <v>1279</v>
      </c>
      <c r="P74" s="130"/>
      <c r="S74" s="10" t="s">
        <v>19</v>
      </c>
      <c r="T74" s="10" t="s">
        <v>143</v>
      </c>
      <c r="U74" s="10" t="s">
        <v>144</v>
      </c>
      <c r="V74" s="10" t="s">
        <v>149</v>
      </c>
      <c r="X74" s="1" t="s">
        <v>143</v>
      </c>
      <c r="Y74" s="1" t="s">
        <v>144</v>
      </c>
    </row>
    <row r="75" customFormat="false" ht="15.75" hidden="false" customHeight="true" outlineLevel="0" collapsed="false">
      <c r="A75" s="96"/>
      <c r="B75" s="10" t="s">
        <v>18</v>
      </c>
      <c r="C75" s="10" t="s">
        <v>19</v>
      </c>
      <c r="D75" s="10" t="s">
        <v>165</v>
      </c>
      <c r="E75" s="10" t="s">
        <v>166</v>
      </c>
      <c r="F75" s="11" t="s">
        <v>152</v>
      </c>
      <c r="G75" s="11" t="s">
        <v>1280</v>
      </c>
      <c r="H75" s="11" t="e">
        <f aca="false">#N/A</f>
        <v>#N/A</v>
      </c>
      <c r="I75" s="11" t="s">
        <v>1281</v>
      </c>
      <c r="J75" s="11" t="s">
        <v>412</v>
      </c>
      <c r="K75" s="11" t="s">
        <v>320</v>
      </c>
      <c r="L75" s="131" t="s">
        <v>1282</v>
      </c>
      <c r="M75" s="11" t="s">
        <v>298</v>
      </c>
      <c r="N75" s="11" t="n">
        <v>0</v>
      </c>
      <c r="O75" s="133" t="n">
        <v>89508334481</v>
      </c>
      <c r="P75" s="130"/>
      <c r="S75" s="10" t="s">
        <v>19</v>
      </c>
      <c r="T75" s="10" t="s">
        <v>145</v>
      </c>
      <c r="U75" s="10" t="s">
        <v>146</v>
      </c>
      <c r="V75" s="10" t="s">
        <v>149</v>
      </c>
      <c r="X75" s="1" t="s">
        <v>145</v>
      </c>
      <c r="Y75" s="1" t="s">
        <v>146</v>
      </c>
    </row>
    <row r="76" customFormat="false" ht="15.75" hidden="false" customHeight="true" outlineLevel="0" collapsed="false">
      <c r="A76" s="96"/>
      <c r="B76" s="10" t="s">
        <v>18</v>
      </c>
      <c r="C76" s="10" t="s">
        <v>19</v>
      </c>
      <c r="D76" s="10" t="s">
        <v>23</v>
      </c>
      <c r="E76" s="10" t="s">
        <v>24</v>
      </c>
      <c r="F76" s="11" t="s">
        <v>22</v>
      </c>
      <c r="G76" s="42" t="s">
        <v>1283</v>
      </c>
      <c r="H76" s="11" t="e">
        <f aca="false">#N/A</f>
        <v>#N/A</v>
      </c>
      <c r="I76" s="11" t="s">
        <v>1284</v>
      </c>
      <c r="J76" s="11" t="s">
        <v>1285</v>
      </c>
      <c r="K76" s="11" t="s">
        <v>1286</v>
      </c>
      <c r="L76" s="11" t="s">
        <v>180</v>
      </c>
      <c r="M76" s="11" t="s">
        <v>181</v>
      </c>
      <c r="N76" s="11" t="n">
        <v>0</v>
      </c>
      <c r="O76" s="133" t="n">
        <v>85103383555</v>
      </c>
      <c r="P76" s="130"/>
      <c r="S76" s="10" t="s">
        <v>19</v>
      </c>
      <c r="T76" s="10" t="s">
        <v>147</v>
      </c>
      <c r="U76" s="10" t="s">
        <v>148</v>
      </c>
      <c r="V76" s="10" t="s">
        <v>149</v>
      </c>
      <c r="X76" s="1" t="s">
        <v>147</v>
      </c>
      <c r="Y76" s="1" t="s">
        <v>148</v>
      </c>
    </row>
    <row r="77" customFormat="false" ht="15.75" hidden="false" customHeight="true" outlineLevel="0" collapsed="false">
      <c r="A77" s="96"/>
      <c r="B77" s="10"/>
      <c r="C77" s="10"/>
      <c r="D77" s="10"/>
      <c r="E77" s="10"/>
      <c r="F77" s="11"/>
      <c r="G77" s="129"/>
      <c r="H77" s="11"/>
      <c r="I77" s="129"/>
      <c r="J77" s="11"/>
      <c r="K77" s="11"/>
      <c r="L77" s="11"/>
      <c r="M77" s="129"/>
      <c r="N77" s="11"/>
      <c r="O77" s="129"/>
      <c r="P77" s="130"/>
    </row>
    <row r="78" customFormat="false" ht="15.75" hidden="false" customHeight="true" outlineLevel="0" collapsed="false">
      <c r="A78" s="96"/>
      <c r="B78" s="10"/>
      <c r="C78" s="10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customFormat="false" ht="15.75" hidden="false" customHeight="true" outlineLevel="0" collapsed="false">
      <c r="A79" s="96"/>
      <c r="B79" s="10"/>
      <c r="C79" s="10"/>
      <c r="D79" s="10"/>
      <c r="E79" s="10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customFormat="false" ht="15.75" hidden="false" customHeight="true" outlineLevel="0" collapsed="false">
      <c r="A80" s="96"/>
      <c r="B80" s="10"/>
      <c r="C80" s="10"/>
      <c r="D80" s="10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customFormat="false" ht="15.75" hidden="false" customHeight="true" outlineLevel="0" collapsed="false">
      <c r="A81" s="96"/>
      <c r="B81" s="10"/>
      <c r="C81" s="10"/>
      <c r="D81" s="10"/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customFormat="false" ht="15.75" hidden="false" customHeight="true" outlineLevel="0" collapsed="false">
      <c r="A82" s="96"/>
      <c r="B82" s="10"/>
      <c r="C82" s="10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customFormat="false" ht="15.75" hidden="false" customHeight="true" outlineLevel="0" collapsed="false">
      <c r="A83" s="96"/>
      <c r="B83" s="10"/>
      <c r="C83" s="10"/>
      <c r="D83" s="10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customFormat="false" ht="15.75" hidden="false" customHeight="true" outlineLevel="0" collapsed="false">
      <c r="A84" s="96"/>
      <c r="B84" s="10"/>
      <c r="C84" s="10"/>
      <c r="D84" s="10"/>
      <c r="E84" s="10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customFormat="false" ht="15.75" hidden="false" customHeight="true" outlineLevel="0" collapsed="false">
      <c r="A85" s="96"/>
      <c r="B85" s="10"/>
      <c r="C85" s="10"/>
      <c r="D85" s="10"/>
      <c r="E85" s="10"/>
      <c r="F85" s="134"/>
      <c r="G85" s="135"/>
      <c r="H85" s="135"/>
      <c r="I85" s="135"/>
      <c r="J85" s="135"/>
      <c r="K85" s="136"/>
      <c r="L85" s="11"/>
      <c r="M85" s="11"/>
      <c r="N85" s="11"/>
      <c r="O85" s="11"/>
    </row>
    <row r="86" customFormat="false" ht="15.75" hidden="false" customHeight="true" outlineLevel="0" collapsed="false">
      <c r="A86" s="96"/>
      <c r="B86" s="10"/>
      <c r="C86" s="10"/>
      <c r="D86" s="10"/>
      <c r="E86" s="10"/>
      <c r="F86" s="137"/>
      <c r="G86" s="138"/>
      <c r="H86" s="138"/>
      <c r="I86" s="138"/>
      <c r="J86" s="138"/>
      <c r="K86" s="139"/>
      <c r="L86" s="11"/>
      <c r="M86" s="11"/>
      <c r="N86" s="11"/>
      <c r="O86" s="11"/>
    </row>
    <row r="87" customFormat="false" ht="15.75" hidden="false" customHeight="true" outlineLevel="0" collapsed="false">
      <c r="A87" s="96"/>
      <c r="B87" s="10"/>
      <c r="C87" s="10"/>
      <c r="D87" s="10"/>
      <c r="E87" s="10"/>
      <c r="F87" s="140"/>
      <c r="G87" s="141"/>
      <c r="H87" s="141"/>
      <c r="I87" s="141"/>
      <c r="J87" s="141"/>
      <c r="K87" s="142"/>
      <c r="L87" s="11"/>
      <c r="M87" s="11"/>
      <c r="N87" s="11"/>
      <c r="O87" s="11"/>
    </row>
    <row r="88" customFormat="false" ht="15.75" hidden="false" customHeight="true" outlineLevel="0" collapsed="false">
      <c r="A88" s="96"/>
      <c r="B88" s="10"/>
      <c r="C88" s="10"/>
      <c r="D88" s="10"/>
      <c r="E88" s="10"/>
      <c r="F88" s="137"/>
      <c r="G88" s="138"/>
      <c r="H88" s="138"/>
      <c r="I88" s="138"/>
      <c r="J88" s="138"/>
      <c r="K88" s="139"/>
      <c r="L88" s="11"/>
      <c r="M88" s="11"/>
      <c r="N88" s="11"/>
      <c r="O88" s="11"/>
    </row>
    <row r="89" customFormat="false" ht="15.75" hidden="false" customHeight="true" outlineLevel="0" collapsed="false">
      <c r="A89" s="96"/>
      <c r="B89" s="10"/>
      <c r="C89" s="10"/>
      <c r="D89" s="10"/>
      <c r="E89" s="10"/>
      <c r="F89" s="140"/>
      <c r="G89" s="141"/>
      <c r="H89" s="141"/>
      <c r="I89" s="141"/>
      <c r="J89" s="141"/>
      <c r="K89" s="142"/>
      <c r="L89" s="11"/>
      <c r="M89" s="11"/>
      <c r="N89" s="11"/>
      <c r="O89" s="11"/>
    </row>
    <row r="90" customFormat="false" ht="15.75" hidden="false" customHeight="true" outlineLevel="0" collapsed="false">
      <c r="A90" s="96"/>
      <c r="B90" s="10"/>
      <c r="C90" s="10"/>
      <c r="D90" s="10"/>
      <c r="E90" s="10"/>
      <c r="F90" s="137"/>
      <c r="G90" s="138"/>
      <c r="H90" s="138"/>
      <c r="I90" s="138"/>
      <c r="J90" s="138"/>
      <c r="K90" s="139"/>
      <c r="L90" s="11"/>
      <c r="M90" s="11"/>
      <c r="N90" s="11"/>
      <c r="O90" s="11"/>
    </row>
    <row r="91" customFormat="false" ht="15.75" hidden="false" customHeight="true" outlineLevel="0" collapsed="false">
      <c r="A91" s="96"/>
      <c r="B91" s="10"/>
      <c r="C91" s="10"/>
      <c r="D91" s="10"/>
      <c r="E91" s="10"/>
      <c r="F91" s="140"/>
      <c r="G91" s="141"/>
      <c r="H91" s="141"/>
      <c r="I91" s="141"/>
      <c r="J91" s="141"/>
      <c r="K91" s="142"/>
      <c r="L91" s="11"/>
      <c r="M91" s="11"/>
      <c r="N91" s="11"/>
      <c r="O91" s="11"/>
    </row>
    <row r="92" customFormat="false" ht="15.75" hidden="false" customHeight="true" outlineLevel="0" collapsed="false">
      <c r="A92" s="96"/>
      <c r="B92" s="10"/>
      <c r="C92" s="10"/>
      <c r="D92" s="10"/>
      <c r="E92" s="10"/>
      <c r="F92" s="137"/>
      <c r="G92" s="138"/>
      <c r="H92" s="138"/>
      <c r="I92" s="138"/>
      <c r="J92" s="138"/>
      <c r="K92" s="139"/>
      <c r="L92" s="11"/>
      <c r="M92" s="11"/>
      <c r="N92" s="11"/>
      <c r="O92" s="11"/>
    </row>
    <row r="93" customFormat="false" ht="15.75" hidden="false" customHeight="true" outlineLevel="0" collapsed="false">
      <c r="A93" s="96"/>
      <c r="B93" s="10"/>
      <c r="C93" s="10"/>
      <c r="D93" s="10"/>
      <c r="E93" s="10"/>
      <c r="F93" s="140"/>
      <c r="G93" s="141"/>
      <c r="H93" s="141"/>
      <c r="I93" s="141"/>
      <c r="J93" s="141"/>
      <c r="K93" s="142"/>
      <c r="L93" s="11"/>
      <c r="M93" s="11"/>
      <c r="N93" s="11"/>
      <c r="O93" s="11"/>
    </row>
    <row r="94" customFormat="false" ht="15.75" hidden="false" customHeight="true" outlineLevel="0" collapsed="false">
      <c r="A94" s="96"/>
      <c r="B94" s="10"/>
      <c r="C94" s="10"/>
      <c r="D94" s="10"/>
      <c r="E94" s="10"/>
      <c r="F94" s="137"/>
      <c r="G94" s="138"/>
      <c r="H94" s="138"/>
      <c r="I94" s="138"/>
      <c r="J94" s="138"/>
      <c r="K94" s="139"/>
      <c r="L94" s="11"/>
      <c r="M94" s="11"/>
      <c r="N94" s="11"/>
      <c r="O94" s="11"/>
    </row>
    <row r="95" customFormat="false" ht="15.75" hidden="false" customHeight="true" outlineLevel="0" collapsed="false">
      <c r="A95" s="96"/>
      <c r="B95" s="10"/>
      <c r="C95" s="10"/>
      <c r="D95" s="10"/>
      <c r="E95" s="10"/>
      <c r="F95" s="140"/>
      <c r="G95" s="141"/>
      <c r="H95" s="141"/>
      <c r="I95" s="141"/>
      <c r="J95" s="141"/>
      <c r="K95" s="142"/>
      <c r="L95" s="11"/>
      <c r="M95" s="11"/>
      <c r="N95" s="11"/>
      <c r="O95" s="11"/>
    </row>
    <row r="96" customFormat="false" ht="15.75" hidden="false" customHeight="true" outlineLevel="0" collapsed="false">
      <c r="A96" s="96"/>
      <c r="B96" s="10"/>
      <c r="C96" s="10"/>
      <c r="D96" s="10"/>
      <c r="E96" s="10"/>
      <c r="F96" s="137"/>
      <c r="G96" s="138"/>
      <c r="H96" s="138"/>
      <c r="I96" s="138"/>
      <c r="J96" s="138"/>
      <c r="K96" s="139"/>
      <c r="L96" s="11"/>
      <c r="M96" s="11"/>
      <c r="N96" s="11"/>
      <c r="O96" s="11"/>
    </row>
    <row r="97" customFormat="false" ht="15.75" hidden="false" customHeight="true" outlineLevel="0" collapsed="false">
      <c r="A97" s="96"/>
      <c r="B97" s="10"/>
      <c r="C97" s="10"/>
      <c r="D97" s="10"/>
      <c r="E97" s="10"/>
      <c r="F97" s="140"/>
      <c r="G97" s="141"/>
      <c r="H97" s="141"/>
      <c r="I97" s="141"/>
      <c r="J97" s="141"/>
      <c r="K97" s="142"/>
      <c r="L97" s="11"/>
      <c r="M97" s="11"/>
      <c r="N97" s="11"/>
      <c r="O97" s="11"/>
    </row>
    <row r="98" customFormat="false" ht="15.75" hidden="false" customHeight="true" outlineLevel="0" collapsed="false">
      <c r="A98" s="96"/>
      <c r="B98" s="10"/>
      <c r="C98" s="10"/>
      <c r="D98" s="10"/>
      <c r="E98" s="10"/>
      <c r="F98" s="137"/>
      <c r="G98" s="138"/>
      <c r="H98" s="138"/>
      <c r="I98" s="138"/>
      <c r="J98" s="138"/>
      <c r="K98" s="139"/>
      <c r="L98" s="11"/>
      <c r="M98" s="11"/>
      <c r="N98" s="11"/>
      <c r="O98" s="11"/>
    </row>
    <row r="99" customFormat="false" ht="15.75" hidden="false" customHeight="true" outlineLevel="0" collapsed="false">
      <c r="A99" s="96"/>
      <c r="B99" s="10"/>
      <c r="C99" s="10"/>
      <c r="D99" s="10"/>
      <c r="E99" s="10"/>
      <c r="F99" s="140"/>
      <c r="G99" s="141"/>
      <c r="H99" s="141"/>
      <c r="I99" s="141"/>
      <c r="J99" s="141"/>
      <c r="K99" s="142"/>
      <c r="L99" s="11"/>
      <c r="M99" s="11"/>
      <c r="N99" s="11"/>
      <c r="O99" s="11"/>
    </row>
    <row r="100" customFormat="false" ht="15.75" hidden="false" customHeight="true" outlineLevel="0" collapsed="false">
      <c r="A100" s="96"/>
      <c r="B100" s="10"/>
      <c r="C100" s="10"/>
      <c r="D100" s="10"/>
      <c r="E100" s="10"/>
      <c r="F100" s="137"/>
      <c r="G100" s="138"/>
      <c r="H100" s="138"/>
      <c r="I100" s="138"/>
      <c r="J100" s="138"/>
      <c r="K100" s="139"/>
      <c r="L100" s="11"/>
      <c r="M100" s="11"/>
      <c r="N100" s="11"/>
      <c r="O100" s="11"/>
    </row>
    <row r="101" customFormat="false" ht="15.75" hidden="false" customHeight="true" outlineLevel="0" collapsed="false">
      <c r="A101" s="96"/>
      <c r="B101" s="10"/>
      <c r="C101" s="10"/>
      <c r="D101" s="10"/>
      <c r="E101" s="10"/>
      <c r="F101" s="140"/>
      <c r="G101" s="141"/>
      <c r="H101" s="141"/>
      <c r="I101" s="141"/>
      <c r="J101" s="141"/>
      <c r="K101" s="142"/>
      <c r="L101" s="11"/>
      <c r="M101" s="11"/>
      <c r="N101" s="11"/>
      <c r="O101" s="11"/>
    </row>
    <row r="102" customFormat="false" ht="15.75" hidden="false" customHeight="true" outlineLevel="0" collapsed="false">
      <c r="A102" s="96"/>
      <c r="B102" s="10"/>
      <c r="C102" s="10"/>
      <c r="D102" s="10"/>
      <c r="E102" s="10"/>
      <c r="F102" s="137"/>
      <c r="G102" s="138"/>
      <c r="H102" s="138"/>
      <c r="I102" s="138"/>
      <c r="J102" s="138"/>
      <c r="K102" s="139"/>
      <c r="L102" s="11"/>
      <c r="M102" s="11"/>
      <c r="N102" s="11"/>
      <c r="O102" s="11"/>
    </row>
    <row r="103" customFormat="false" ht="15.75" hidden="false" customHeight="true" outlineLevel="0" collapsed="false">
      <c r="A103" s="96"/>
      <c r="B103" s="10"/>
      <c r="C103" s="10"/>
      <c r="D103" s="10"/>
      <c r="E103" s="10"/>
      <c r="F103" s="140"/>
      <c r="G103" s="141"/>
      <c r="H103" s="141"/>
      <c r="I103" s="141"/>
      <c r="J103" s="141"/>
      <c r="K103" s="142"/>
      <c r="L103" s="11"/>
      <c r="M103" s="11"/>
      <c r="N103" s="11"/>
      <c r="O103" s="11"/>
    </row>
    <row r="104" customFormat="false" ht="15.75" hidden="false" customHeight="true" outlineLevel="0" collapsed="false">
      <c r="A104" s="96"/>
      <c r="B104" s="10"/>
      <c r="C104" s="10"/>
      <c r="D104" s="10"/>
      <c r="E104" s="10"/>
      <c r="F104" s="137"/>
      <c r="G104" s="138"/>
      <c r="H104" s="138"/>
      <c r="I104" s="138"/>
      <c r="J104" s="138"/>
      <c r="K104" s="139"/>
      <c r="L104" s="11"/>
      <c r="M104" s="11"/>
      <c r="N104" s="11"/>
      <c r="O104" s="11"/>
    </row>
    <row r="105" customFormat="false" ht="15.75" hidden="false" customHeight="true" outlineLevel="0" collapsed="false">
      <c r="A105" s="96"/>
      <c r="B105" s="10"/>
      <c r="C105" s="10"/>
      <c r="D105" s="10"/>
      <c r="E105" s="10"/>
      <c r="F105" s="140"/>
      <c r="G105" s="141"/>
      <c r="H105" s="141"/>
      <c r="I105" s="141"/>
      <c r="J105" s="141"/>
      <c r="K105" s="142"/>
      <c r="L105" s="11"/>
      <c r="M105" s="11"/>
      <c r="N105" s="11"/>
      <c r="O105" s="11"/>
    </row>
    <row r="106" customFormat="false" ht="15.75" hidden="false" customHeight="true" outlineLevel="0" collapsed="false">
      <c r="A106" s="96"/>
      <c r="B106" s="10"/>
      <c r="C106" s="10"/>
      <c r="D106" s="10"/>
      <c r="E106" s="10"/>
      <c r="F106" s="137"/>
      <c r="G106" s="138"/>
      <c r="H106" s="138"/>
      <c r="I106" s="138"/>
      <c r="J106" s="138"/>
      <c r="K106" s="139"/>
      <c r="L106" s="11"/>
      <c r="M106" s="11"/>
      <c r="N106" s="11"/>
      <c r="O106" s="11"/>
    </row>
    <row r="107" customFormat="false" ht="15.75" hidden="false" customHeight="true" outlineLevel="0" collapsed="false">
      <c r="A107" s="96"/>
      <c r="B107" s="10"/>
      <c r="C107" s="10"/>
      <c r="D107" s="10"/>
      <c r="E107" s="10"/>
      <c r="F107" s="140"/>
      <c r="G107" s="141"/>
      <c r="H107" s="141"/>
      <c r="I107" s="141"/>
      <c r="J107" s="141"/>
      <c r="K107" s="142"/>
      <c r="L107" s="11"/>
      <c r="M107" s="11"/>
      <c r="N107" s="11"/>
      <c r="O107" s="11"/>
    </row>
    <row r="108" customFormat="false" ht="15.75" hidden="false" customHeight="true" outlineLevel="0" collapsed="false">
      <c r="A108" s="96"/>
      <c r="B108" s="10"/>
      <c r="C108" s="10"/>
      <c r="D108" s="10"/>
      <c r="E108" s="10"/>
      <c r="F108" s="137"/>
      <c r="G108" s="138"/>
      <c r="H108" s="138"/>
      <c r="I108" s="138"/>
      <c r="J108" s="138"/>
      <c r="K108" s="139"/>
      <c r="L108" s="11"/>
      <c r="M108" s="11"/>
      <c r="N108" s="11"/>
      <c r="O108" s="11"/>
    </row>
    <row r="109" customFormat="false" ht="15.75" hidden="false" customHeight="true" outlineLevel="0" collapsed="false">
      <c r="A109" s="96"/>
      <c r="B109" s="10"/>
      <c r="C109" s="10"/>
      <c r="D109" s="10"/>
      <c r="E109" s="10"/>
      <c r="F109" s="140"/>
      <c r="G109" s="141"/>
      <c r="H109" s="141"/>
      <c r="I109" s="141"/>
      <c r="J109" s="141"/>
      <c r="K109" s="142"/>
      <c r="L109" s="11"/>
      <c r="M109" s="11"/>
      <c r="N109" s="11"/>
      <c r="O109" s="11"/>
    </row>
    <row r="110" customFormat="false" ht="15.75" hidden="false" customHeight="true" outlineLevel="0" collapsed="false">
      <c r="A110" s="96"/>
      <c r="B110" s="10"/>
      <c r="C110" s="10"/>
      <c r="D110" s="10"/>
      <c r="E110" s="10"/>
      <c r="F110" s="137"/>
      <c r="G110" s="138"/>
      <c r="H110" s="138"/>
      <c r="I110" s="138"/>
      <c r="J110" s="138"/>
      <c r="K110" s="139"/>
      <c r="L110" s="11"/>
      <c r="M110" s="11"/>
      <c r="N110" s="11"/>
      <c r="O110" s="11"/>
    </row>
    <row r="111" customFormat="false" ht="15.75" hidden="false" customHeight="true" outlineLevel="0" collapsed="false">
      <c r="A111" s="96"/>
      <c r="B111" s="10"/>
      <c r="C111" s="10"/>
      <c r="D111" s="10"/>
      <c r="E111" s="10"/>
      <c r="F111" s="140"/>
      <c r="G111" s="141"/>
      <c r="H111" s="141"/>
      <c r="I111" s="141"/>
      <c r="J111" s="141"/>
      <c r="K111" s="142"/>
      <c r="L111" s="11"/>
      <c r="M111" s="11"/>
      <c r="N111" s="11"/>
      <c r="O111" s="11"/>
    </row>
    <row r="112" customFormat="false" ht="15.75" hidden="false" customHeight="true" outlineLevel="0" collapsed="false">
      <c r="A112" s="96"/>
      <c r="B112" s="10"/>
      <c r="C112" s="10"/>
      <c r="D112" s="10"/>
      <c r="E112" s="10"/>
      <c r="F112" s="137"/>
      <c r="G112" s="138"/>
      <c r="H112" s="138"/>
      <c r="I112" s="138"/>
      <c r="J112" s="138"/>
      <c r="K112" s="139"/>
      <c r="L112" s="11"/>
      <c r="M112" s="11"/>
      <c r="N112" s="11"/>
      <c r="O112" s="11"/>
    </row>
    <row r="113" customFormat="false" ht="15.75" hidden="false" customHeight="true" outlineLevel="0" collapsed="false">
      <c r="A113" s="96"/>
      <c r="B113" s="10"/>
      <c r="C113" s="10"/>
      <c r="D113" s="10"/>
      <c r="E113" s="10"/>
      <c r="F113" s="140"/>
      <c r="G113" s="141"/>
      <c r="H113" s="141"/>
      <c r="I113" s="141"/>
      <c r="J113" s="141"/>
      <c r="K113" s="142"/>
      <c r="L113" s="11"/>
      <c r="M113" s="11"/>
      <c r="N113" s="11"/>
      <c r="O113" s="11"/>
    </row>
    <row r="114" customFormat="false" ht="15.75" hidden="false" customHeight="true" outlineLevel="0" collapsed="false">
      <c r="A114" s="96"/>
      <c r="B114" s="10"/>
      <c r="C114" s="10"/>
      <c r="D114" s="10"/>
      <c r="E114" s="10"/>
      <c r="F114" s="143"/>
      <c r="G114" s="144"/>
      <c r="H114" s="144"/>
      <c r="I114" s="144"/>
      <c r="J114" s="144"/>
      <c r="K114" s="145"/>
      <c r="L114" s="11"/>
      <c r="M114" s="11"/>
      <c r="N114" s="11"/>
      <c r="O114" s="11"/>
    </row>
    <row r="115" customFormat="false" ht="15.75" hidden="false" customHeight="true" outlineLevel="0" collapsed="false">
      <c r="A115" s="96"/>
      <c r="B115" s="10"/>
      <c r="C115" s="10"/>
      <c r="D115" s="10"/>
      <c r="E115" s="10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customFormat="false" ht="15.75" hidden="false" customHeight="true" outlineLevel="0" collapsed="false">
      <c r="A116" s="96"/>
      <c r="B116" s="10"/>
      <c r="C116" s="10"/>
      <c r="D116" s="10"/>
      <c r="E116" s="10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customFormat="false" ht="15.75" hidden="false" customHeight="true" outlineLevel="0" collapsed="false">
      <c r="A117" s="96"/>
      <c r="B117" s="10"/>
      <c r="C117" s="10"/>
      <c r="D117" s="10"/>
      <c r="E117" s="10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customFormat="false" ht="15.75" hidden="false" customHeight="true" outlineLevel="0" collapsed="false">
      <c r="A118" s="96"/>
      <c r="B118" s="10"/>
      <c r="C118" s="10"/>
      <c r="D118" s="10"/>
      <c r="E118" s="10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customFormat="false" ht="15.75" hidden="false" customHeight="true" outlineLevel="0" collapsed="false">
      <c r="A119" s="96"/>
      <c r="B119" s="10"/>
      <c r="C119" s="10"/>
      <c r="D119" s="10"/>
      <c r="E119" s="10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customFormat="false" ht="15.75" hidden="false" customHeight="true" outlineLevel="0" collapsed="false">
      <c r="A120" s="96"/>
      <c r="B120" s="10"/>
      <c r="C120" s="10"/>
      <c r="D120" s="10"/>
      <c r="E120" s="10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customFormat="false" ht="15.75" hidden="false" customHeight="true" outlineLevel="0" collapsed="false">
      <c r="A121" s="96"/>
      <c r="B121" s="10"/>
      <c r="C121" s="10"/>
      <c r="D121" s="10"/>
      <c r="E121" s="10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customFormat="false" ht="15.75" hidden="false" customHeight="true" outlineLevel="0" collapsed="false">
      <c r="A122" s="96"/>
      <c r="B122" s="10"/>
      <c r="C122" s="10"/>
      <c r="D122" s="10"/>
      <c r="E122" s="10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customFormat="false" ht="15.75" hidden="false" customHeight="true" outlineLevel="0" collapsed="false">
      <c r="A123" s="96"/>
      <c r="B123" s="10"/>
      <c r="C123" s="10"/>
      <c r="D123" s="10"/>
      <c r="E123" s="10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customFormat="false" ht="15.75" hidden="false" customHeight="true" outlineLevel="0" collapsed="false">
      <c r="A124" s="96"/>
      <c r="B124" s="10"/>
      <c r="C124" s="10"/>
      <c r="D124" s="10"/>
      <c r="E124" s="10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customFormat="false" ht="15.75" hidden="false" customHeight="true" outlineLevel="0" collapsed="false">
      <c r="A125" s="96"/>
      <c r="B125" s="10"/>
      <c r="C125" s="10"/>
      <c r="D125" s="10"/>
      <c r="E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customFormat="false" ht="15.75" hidden="false" customHeight="true" outlineLevel="0" collapsed="false">
      <c r="A126" s="96"/>
      <c r="B126" s="10"/>
      <c r="C126" s="10"/>
      <c r="D126" s="10"/>
      <c r="E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customFormat="false" ht="15.75" hidden="false" customHeight="true" outlineLevel="0" collapsed="false">
      <c r="A127" s="96"/>
      <c r="B127" s="10"/>
      <c r="C127" s="10"/>
      <c r="D127" s="10"/>
      <c r="E127" s="10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customFormat="false" ht="15.75" hidden="false" customHeight="true" outlineLevel="0" collapsed="false">
      <c r="A128" s="96"/>
      <c r="B128" s="10"/>
      <c r="C128" s="10"/>
      <c r="D128" s="10"/>
      <c r="E128" s="10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customFormat="false" ht="15.75" hidden="false" customHeight="true" outlineLevel="0" collapsed="false">
      <c r="A129" s="96"/>
      <c r="B129" s="10"/>
      <c r="C129" s="10"/>
      <c r="D129" s="10"/>
      <c r="E129" s="10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customFormat="false" ht="15.75" hidden="false" customHeight="true" outlineLevel="0" collapsed="false">
      <c r="A130" s="96"/>
      <c r="B130" s="10"/>
      <c r="C130" s="10"/>
      <c r="D130" s="10"/>
      <c r="E130" s="10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customFormat="false" ht="15.75" hidden="false" customHeight="true" outlineLevel="0" collapsed="false">
      <c r="A131" s="96"/>
      <c r="B131" s="10"/>
      <c r="C131" s="10"/>
      <c r="D131" s="10"/>
      <c r="E131" s="10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customFormat="false" ht="15.75" hidden="false" customHeight="true" outlineLevel="0" collapsed="false">
      <c r="A132" s="96"/>
      <c r="B132" s="10"/>
      <c r="C132" s="10"/>
      <c r="D132" s="10"/>
      <c r="E132" s="10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customFormat="false" ht="15.75" hidden="false" customHeight="true" outlineLevel="0" collapsed="false">
      <c r="A133" s="96"/>
      <c r="B133" s="10"/>
      <c r="C133" s="10"/>
      <c r="D133" s="10"/>
      <c r="E133" s="10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customFormat="false" ht="15.75" hidden="false" customHeight="true" outlineLevel="0" collapsed="false">
      <c r="A134" s="96"/>
      <c r="B134" s="10"/>
      <c r="C134" s="10"/>
      <c r="D134" s="10"/>
      <c r="E134" s="10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customFormat="false" ht="15.75" hidden="false" customHeight="true" outlineLevel="0" collapsed="false">
      <c r="A135" s="96"/>
      <c r="B135" s="10"/>
      <c r="C135" s="10"/>
      <c r="D135" s="10"/>
      <c r="E135" s="10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customFormat="false" ht="15.75" hidden="false" customHeight="true" outlineLevel="0" collapsed="false">
      <c r="A136" s="96"/>
      <c r="B136" s="10"/>
      <c r="C136" s="10"/>
      <c r="D136" s="10"/>
      <c r="E136" s="10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customFormat="false" ht="15.75" hidden="false" customHeight="true" outlineLevel="0" collapsed="false">
      <c r="A137" s="96"/>
      <c r="B137" s="10"/>
      <c r="C137" s="10"/>
      <c r="D137" s="10"/>
      <c r="E137" s="10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customFormat="false" ht="15.75" hidden="false" customHeight="true" outlineLevel="0" collapsed="false">
      <c r="A138" s="96"/>
      <c r="B138" s="10"/>
      <c r="C138" s="10"/>
      <c r="D138" s="10"/>
      <c r="E138" s="10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customFormat="false" ht="15.75" hidden="false" customHeight="true" outlineLevel="0" collapsed="false">
      <c r="A139" s="96"/>
      <c r="B139" s="10"/>
      <c r="C139" s="10"/>
      <c r="D139" s="10"/>
      <c r="E139" s="10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customFormat="false" ht="15.75" hidden="false" customHeight="true" outlineLevel="0" collapsed="false">
      <c r="A140" s="96"/>
      <c r="B140" s="10"/>
      <c r="C140" s="10"/>
      <c r="D140" s="10"/>
      <c r="E140" s="10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customFormat="false" ht="15.75" hidden="false" customHeight="true" outlineLevel="0" collapsed="false">
      <c r="A141" s="96"/>
      <c r="B141" s="10"/>
      <c r="C141" s="10"/>
      <c r="D141" s="10"/>
      <c r="E141" s="10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customFormat="false" ht="15.75" hidden="false" customHeight="true" outlineLevel="0" collapsed="false">
      <c r="A142" s="96"/>
      <c r="B142" s="10"/>
      <c r="C142" s="10"/>
      <c r="D142" s="10"/>
      <c r="E142" s="10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customFormat="false" ht="15.75" hidden="false" customHeight="true" outlineLevel="0" collapsed="false">
      <c r="A143" s="96"/>
      <c r="B143" s="10"/>
      <c r="C143" s="10"/>
      <c r="D143" s="10"/>
      <c r="E143" s="10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customFormat="false" ht="15.75" hidden="false" customHeight="true" outlineLevel="0" collapsed="false">
      <c r="A144" s="96"/>
      <c r="B144" s="10"/>
      <c r="C144" s="10"/>
      <c r="D144" s="10"/>
      <c r="E144" s="10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customFormat="false" ht="15.75" hidden="false" customHeight="true" outlineLevel="0" collapsed="false">
      <c r="A145" s="96"/>
      <c r="B145" s="10"/>
      <c r="C145" s="10"/>
      <c r="D145" s="10"/>
      <c r="E145" s="10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customFormat="false" ht="15.75" hidden="false" customHeight="true" outlineLevel="0" collapsed="false">
      <c r="A146" s="96"/>
      <c r="B146" s="10"/>
      <c r="C146" s="10"/>
      <c r="D146" s="10"/>
      <c r="E146" s="10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customFormat="false" ht="15.75" hidden="false" customHeight="true" outlineLevel="0" collapsed="false">
      <c r="A147" s="96"/>
      <c r="B147" s="10"/>
      <c r="C147" s="10"/>
      <c r="D147" s="10"/>
      <c r="E147" s="10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customFormat="false" ht="15.75" hidden="false" customHeight="true" outlineLevel="0" collapsed="false">
      <c r="A148" s="96"/>
      <c r="B148" s="10"/>
      <c r="C148" s="10"/>
      <c r="D148" s="10"/>
      <c r="E148" s="10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customFormat="false" ht="15.75" hidden="false" customHeight="true" outlineLevel="0" collapsed="false">
      <c r="A149" s="96"/>
      <c r="B149" s="10"/>
      <c r="C149" s="10"/>
      <c r="D149" s="10"/>
      <c r="E149" s="10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customFormat="false" ht="15.75" hidden="false" customHeight="true" outlineLevel="0" collapsed="false">
      <c r="A150" s="96"/>
      <c r="B150" s="10"/>
      <c r="C150" s="10"/>
      <c r="D150" s="10"/>
      <c r="E150" s="10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customFormat="false" ht="15.75" hidden="false" customHeight="true" outlineLevel="0" collapsed="false">
      <c r="A151" s="96"/>
      <c r="B151" s="10"/>
      <c r="C151" s="10"/>
      <c r="D151" s="10"/>
      <c r="E151" s="10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customFormat="false" ht="15.75" hidden="false" customHeight="true" outlineLevel="0" collapsed="false">
      <c r="A152" s="96"/>
      <c r="B152" s="10"/>
      <c r="C152" s="10"/>
      <c r="D152" s="10"/>
      <c r="E152" s="10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customFormat="false" ht="15.75" hidden="false" customHeight="true" outlineLevel="0" collapsed="false">
      <c r="A153" s="96"/>
      <c r="B153" s="10"/>
      <c r="C153" s="10"/>
      <c r="D153" s="10"/>
      <c r="E153" s="10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customFormat="false" ht="15.75" hidden="false" customHeight="true" outlineLevel="0" collapsed="false">
      <c r="A154" s="96"/>
      <c r="B154" s="10"/>
      <c r="C154" s="10"/>
      <c r="D154" s="10"/>
      <c r="E154" s="10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customFormat="false" ht="15.75" hidden="false" customHeight="true" outlineLevel="0" collapsed="false">
      <c r="A155" s="96"/>
      <c r="B155" s="10"/>
      <c r="C155" s="10"/>
      <c r="D155" s="10"/>
      <c r="E155" s="10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customFormat="false" ht="15.75" hidden="false" customHeight="true" outlineLevel="0" collapsed="false">
      <c r="A156" s="96"/>
      <c r="B156" s="10"/>
      <c r="C156" s="10"/>
      <c r="D156" s="10"/>
      <c r="E156" s="10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customFormat="false" ht="15.75" hidden="false" customHeight="true" outlineLevel="0" collapsed="false">
      <c r="A157" s="96"/>
      <c r="B157" s="10"/>
      <c r="C157" s="10"/>
      <c r="D157" s="10"/>
      <c r="E157" s="10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customFormat="false" ht="15.75" hidden="false" customHeight="true" outlineLevel="0" collapsed="false">
      <c r="A158" s="96"/>
      <c r="B158" s="10"/>
      <c r="C158" s="10"/>
      <c r="D158" s="10"/>
      <c r="E158" s="10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customFormat="false" ht="15.75" hidden="false" customHeight="true" outlineLevel="0" collapsed="false">
      <c r="A159" s="96"/>
      <c r="B159" s="10"/>
      <c r="C159" s="10"/>
      <c r="D159" s="10"/>
      <c r="E159" s="10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customFormat="false" ht="15.75" hidden="false" customHeight="true" outlineLevel="0" collapsed="false">
      <c r="A160" s="96"/>
      <c r="B160" s="10"/>
      <c r="C160" s="10"/>
      <c r="D160" s="10"/>
      <c r="E160" s="10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customFormat="false" ht="15.75" hidden="false" customHeight="true" outlineLevel="0" collapsed="false">
      <c r="A161" s="96"/>
      <c r="B161" s="10"/>
      <c r="C161" s="10"/>
      <c r="D161" s="10"/>
      <c r="E161" s="10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customFormat="false" ht="15.75" hidden="false" customHeight="true" outlineLevel="0" collapsed="false">
      <c r="A162" s="96"/>
      <c r="B162" s="10"/>
      <c r="C162" s="10"/>
      <c r="D162" s="10"/>
      <c r="E162" s="10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customFormat="false" ht="15.75" hidden="false" customHeight="true" outlineLevel="0" collapsed="false">
      <c r="A163" s="96"/>
      <c r="B163" s="10"/>
      <c r="C163" s="10"/>
      <c r="D163" s="10"/>
      <c r="E163" s="10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customFormat="false" ht="15.75" hidden="false" customHeight="true" outlineLevel="0" collapsed="false">
      <c r="A164" s="96"/>
      <c r="B164" s="10"/>
      <c r="C164" s="10"/>
      <c r="D164" s="10"/>
      <c r="E164" s="10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customFormat="false" ht="15.75" hidden="false" customHeight="true" outlineLevel="0" collapsed="false">
      <c r="A165" s="96"/>
      <c r="B165" s="10"/>
      <c r="C165" s="10"/>
      <c r="D165" s="10"/>
      <c r="E165" s="10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customFormat="false" ht="15.75" hidden="false" customHeight="true" outlineLevel="0" collapsed="false">
      <c r="A166" s="96"/>
      <c r="B166" s="10"/>
      <c r="C166" s="10"/>
      <c r="D166" s="10"/>
      <c r="E166" s="10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customFormat="false" ht="15.75" hidden="false" customHeight="true" outlineLevel="0" collapsed="false">
      <c r="A167" s="96"/>
      <c r="B167" s="10"/>
      <c r="C167" s="10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customFormat="false" ht="15.75" hidden="false" customHeight="true" outlineLevel="0" collapsed="false">
      <c r="A168" s="96"/>
      <c r="B168" s="10"/>
      <c r="C168" s="10"/>
      <c r="D168" s="10"/>
      <c r="E168" s="10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customFormat="false" ht="15.75" hidden="false" customHeight="true" outlineLevel="0" collapsed="false">
      <c r="A169" s="96"/>
      <c r="B169" s="10"/>
      <c r="C169" s="10"/>
      <c r="D169" s="10"/>
      <c r="E169" s="10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customFormat="false" ht="15.75" hidden="false" customHeight="true" outlineLevel="0" collapsed="false">
      <c r="A170" s="96"/>
      <c r="B170" s="10"/>
      <c r="C170" s="10"/>
      <c r="D170" s="10"/>
      <c r="E170" s="10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customFormat="false" ht="15.75" hidden="false" customHeight="true" outlineLevel="0" collapsed="false">
      <c r="A171" s="96"/>
      <c r="B171" s="10"/>
      <c r="C171" s="10"/>
      <c r="D171" s="10"/>
      <c r="E171" s="10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customFormat="false" ht="15.75" hidden="false" customHeight="true" outlineLevel="0" collapsed="false">
      <c r="A172" s="96"/>
      <c r="B172" s="10"/>
      <c r="C172" s="10"/>
      <c r="D172" s="10"/>
      <c r="E172" s="10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customFormat="false" ht="15.75" hidden="false" customHeight="true" outlineLevel="0" collapsed="false">
      <c r="A173" s="96"/>
      <c r="B173" s="10"/>
      <c r="C173" s="10"/>
      <c r="D173" s="10"/>
      <c r="E173" s="10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customFormat="false" ht="15.75" hidden="false" customHeight="true" outlineLevel="0" collapsed="false">
      <c r="A174" s="96"/>
      <c r="B174" s="10"/>
      <c r="C174" s="10"/>
      <c r="D174" s="10"/>
      <c r="E174" s="10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customFormat="false" ht="15.75" hidden="false" customHeight="true" outlineLevel="0" collapsed="false">
      <c r="A175" s="96"/>
      <c r="B175" s="10"/>
      <c r="C175" s="10"/>
      <c r="D175" s="10"/>
      <c r="E175" s="10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customFormat="false" ht="15.75" hidden="false" customHeight="true" outlineLevel="0" collapsed="false">
      <c r="A176" s="96"/>
      <c r="B176" s="10"/>
      <c r="C176" s="10"/>
      <c r="D176" s="10"/>
      <c r="E176" s="10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customFormat="false" ht="15.75" hidden="false" customHeight="true" outlineLevel="0" collapsed="false">
      <c r="A177" s="96"/>
      <c r="B177" s="10"/>
      <c r="C177" s="10"/>
      <c r="D177" s="10"/>
      <c r="E177" s="10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customFormat="false" ht="15.75" hidden="false" customHeight="true" outlineLevel="0" collapsed="false">
      <c r="A178" s="96"/>
      <c r="B178" s="10"/>
      <c r="C178" s="10"/>
      <c r="D178" s="10"/>
      <c r="E178" s="10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customFormat="false" ht="15.75" hidden="false" customHeight="true" outlineLevel="0" collapsed="false">
      <c r="A179" s="96"/>
      <c r="B179" s="10"/>
      <c r="C179" s="10"/>
      <c r="D179" s="10"/>
      <c r="E179" s="10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customFormat="false" ht="15.75" hidden="false" customHeight="true" outlineLevel="0" collapsed="false">
      <c r="A180" s="96"/>
      <c r="B180" s="10"/>
      <c r="C180" s="10"/>
      <c r="D180" s="10"/>
      <c r="E180" s="10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customFormat="false" ht="15.75" hidden="false" customHeight="true" outlineLevel="0" collapsed="false">
      <c r="A181" s="96"/>
      <c r="B181" s="10"/>
      <c r="C181" s="10"/>
      <c r="D181" s="10"/>
      <c r="E181" s="10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customFormat="false" ht="15.75" hidden="false" customHeight="true" outlineLevel="0" collapsed="false">
      <c r="A182" s="96"/>
      <c r="B182" s="10"/>
      <c r="C182" s="10"/>
      <c r="D182" s="10"/>
      <c r="E182" s="10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customFormat="false" ht="15.75" hidden="false" customHeight="true" outlineLevel="0" collapsed="false">
      <c r="A183" s="96"/>
      <c r="B183" s="10"/>
      <c r="C183" s="10"/>
      <c r="D183" s="10"/>
      <c r="E183" s="10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customFormat="false" ht="15.75" hidden="false" customHeight="true" outlineLevel="0" collapsed="false">
      <c r="A184" s="96"/>
      <c r="B184" s="10"/>
      <c r="C184" s="10"/>
      <c r="D184" s="10"/>
      <c r="E184" s="10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customFormat="false" ht="15.75" hidden="false" customHeight="true" outlineLevel="0" collapsed="false">
      <c r="A185" s="96"/>
      <c r="B185" s="10"/>
      <c r="C185" s="10"/>
      <c r="D185" s="10"/>
      <c r="E185" s="10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customFormat="false" ht="15.75" hidden="false" customHeight="true" outlineLevel="0" collapsed="false">
      <c r="A186" s="96"/>
      <c r="B186" s="10"/>
      <c r="C186" s="10"/>
      <c r="D186" s="10"/>
      <c r="E186" s="10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customFormat="false" ht="15.75" hidden="false" customHeight="true" outlineLevel="0" collapsed="false">
      <c r="A187" s="96"/>
      <c r="B187" s="10"/>
      <c r="C187" s="10"/>
      <c r="D187" s="10"/>
      <c r="E187" s="10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customFormat="false" ht="15.75" hidden="false" customHeight="true" outlineLevel="0" collapsed="false">
      <c r="A188" s="96"/>
      <c r="B188" s="10"/>
      <c r="C188" s="10"/>
      <c r="D188" s="10"/>
      <c r="E188" s="10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customFormat="false" ht="15.75" hidden="false" customHeight="true" outlineLevel="0" collapsed="false">
      <c r="A189" s="96"/>
      <c r="B189" s="10"/>
      <c r="C189" s="10"/>
      <c r="D189" s="10"/>
      <c r="E189" s="10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customFormat="false" ht="15.75" hidden="false" customHeight="true" outlineLevel="0" collapsed="false">
      <c r="A190" s="96"/>
      <c r="B190" s="10"/>
      <c r="C190" s="10"/>
      <c r="D190" s="10"/>
      <c r="E190" s="10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customFormat="false" ht="15.75" hidden="false" customHeight="true" outlineLevel="0" collapsed="false">
      <c r="A191" s="96"/>
      <c r="B191" s="10"/>
      <c r="C191" s="10"/>
      <c r="D191" s="10"/>
      <c r="E191" s="10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customFormat="false" ht="15.75" hidden="false" customHeight="true" outlineLevel="0" collapsed="false">
      <c r="A192" s="96"/>
      <c r="B192" s="10"/>
      <c r="C192" s="10"/>
      <c r="D192" s="10"/>
      <c r="E192" s="10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customFormat="false" ht="15.75" hidden="false" customHeight="true" outlineLevel="0" collapsed="false">
      <c r="A193" s="96"/>
      <c r="B193" s="10"/>
      <c r="C193" s="10"/>
      <c r="D193" s="10"/>
      <c r="E193" s="10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customFormat="false" ht="15.75" hidden="false" customHeight="true" outlineLevel="0" collapsed="false">
      <c r="A194" s="96"/>
      <c r="B194" s="10"/>
      <c r="C194" s="10"/>
      <c r="D194" s="10"/>
      <c r="E194" s="10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customFormat="false" ht="15.75" hidden="false" customHeight="true" outlineLevel="0" collapsed="false">
      <c r="A195" s="96"/>
      <c r="B195" s="10"/>
      <c r="C195" s="10"/>
      <c r="D195" s="10"/>
      <c r="E195" s="10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customFormat="false" ht="15.75" hidden="false" customHeight="true" outlineLevel="0" collapsed="false">
      <c r="A196" s="96"/>
      <c r="B196" s="10"/>
      <c r="C196" s="10"/>
      <c r="D196" s="10"/>
      <c r="E196" s="10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customFormat="false" ht="15.75" hidden="false" customHeight="true" outlineLevel="0" collapsed="false">
      <c r="A197" s="96"/>
      <c r="B197" s="10"/>
      <c r="C197" s="10"/>
      <c r="D197" s="10"/>
      <c r="E197" s="10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customFormat="false" ht="15.75" hidden="false" customHeight="true" outlineLevel="0" collapsed="false">
      <c r="A198" s="96"/>
      <c r="B198" s="10"/>
      <c r="C198" s="10"/>
      <c r="D198" s="10"/>
      <c r="E198" s="10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customFormat="false" ht="15.75" hidden="false" customHeight="true" outlineLevel="0" collapsed="false">
      <c r="A199" s="96"/>
      <c r="B199" s="10"/>
      <c r="C199" s="10"/>
      <c r="D199" s="10"/>
      <c r="E199" s="10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customFormat="false" ht="15.75" hidden="false" customHeight="true" outlineLevel="0" collapsed="false">
      <c r="A200" s="96"/>
      <c r="B200" s="10"/>
      <c r="C200" s="10"/>
      <c r="D200" s="10"/>
      <c r="E200" s="10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customFormat="false" ht="15.75" hidden="false" customHeight="true" outlineLevel="0" collapsed="false">
      <c r="A201" s="96"/>
      <c r="B201" s="10"/>
      <c r="C201" s="10"/>
      <c r="D201" s="10"/>
      <c r="E201" s="10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customFormat="false" ht="15.75" hidden="false" customHeight="true" outlineLevel="0" collapsed="false">
      <c r="A202" s="96"/>
      <c r="B202" s="10"/>
      <c r="C202" s="10"/>
      <c r="D202" s="10"/>
      <c r="E202" s="10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customFormat="false" ht="15.75" hidden="false" customHeight="true" outlineLevel="0" collapsed="false">
      <c r="A203" s="96"/>
      <c r="B203" s="10"/>
      <c r="C203" s="10"/>
      <c r="D203" s="10"/>
      <c r="E203" s="10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customFormat="false" ht="15.75" hidden="false" customHeight="true" outlineLevel="0" collapsed="false">
      <c r="A204" s="96"/>
      <c r="B204" s="10"/>
      <c r="C204" s="10"/>
      <c r="D204" s="10"/>
      <c r="E204" s="10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customFormat="false" ht="15.75" hidden="false" customHeight="true" outlineLevel="0" collapsed="false">
      <c r="A205" s="96"/>
      <c r="B205" s="10"/>
      <c r="C205" s="10"/>
      <c r="D205" s="10"/>
      <c r="E205" s="10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customFormat="false" ht="15.75" hidden="false" customHeight="true" outlineLevel="0" collapsed="false">
      <c r="A206" s="96"/>
      <c r="B206" s="10"/>
      <c r="C206" s="10"/>
      <c r="D206" s="10"/>
      <c r="E206" s="10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customFormat="false" ht="15.75" hidden="false" customHeight="true" outlineLevel="0" collapsed="false">
      <c r="A207" s="96"/>
      <c r="B207" s="10"/>
      <c r="C207" s="10"/>
      <c r="D207" s="10"/>
      <c r="E207" s="10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customFormat="false" ht="15.75" hidden="false" customHeight="true" outlineLevel="0" collapsed="false">
      <c r="A208" s="96"/>
      <c r="B208" s="10"/>
      <c r="C208" s="10"/>
      <c r="D208" s="10"/>
      <c r="E208" s="10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customFormat="false" ht="15.75" hidden="false" customHeight="true" outlineLevel="0" collapsed="false">
      <c r="A209" s="96"/>
      <c r="B209" s="10"/>
      <c r="C209" s="10"/>
      <c r="D209" s="10"/>
      <c r="E209" s="10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customFormat="false" ht="15.75" hidden="false" customHeight="true" outlineLevel="0" collapsed="false">
      <c r="A210" s="96"/>
      <c r="B210" s="10"/>
      <c r="C210" s="10"/>
      <c r="D210" s="10"/>
      <c r="E210" s="10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customFormat="false" ht="15.75" hidden="false" customHeight="true" outlineLevel="0" collapsed="false">
      <c r="A211" s="96"/>
      <c r="B211" s="10"/>
      <c r="C211" s="10"/>
      <c r="D211" s="10"/>
      <c r="E211" s="10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customFormat="false" ht="15.75" hidden="false" customHeight="true" outlineLevel="0" collapsed="false">
      <c r="A212" s="96"/>
      <c r="B212" s="10"/>
      <c r="C212" s="10"/>
      <c r="D212" s="10"/>
      <c r="E212" s="10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customFormat="false" ht="15.75" hidden="false" customHeight="true" outlineLevel="0" collapsed="false">
      <c r="A213" s="96"/>
      <c r="B213" s="10"/>
      <c r="C213" s="10"/>
      <c r="D213" s="10"/>
      <c r="E213" s="10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customFormat="false" ht="15.75" hidden="false" customHeight="true" outlineLevel="0" collapsed="false">
      <c r="A214" s="96"/>
      <c r="B214" s="10"/>
      <c r="C214" s="10"/>
      <c r="D214" s="10"/>
      <c r="E214" s="10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customFormat="false" ht="15.75" hidden="false" customHeight="true" outlineLevel="0" collapsed="false">
      <c r="A215" s="96"/>
      <c r="B215" s="10"/>
      <c r="C215" s="10"/>
      <c r="D215" s="10"/>
      <c r="E215" s="10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customFormat="false" ht="15.75" hidden="false" customHeight="true" outlineLevel="0" collapsed="false">
      <c r="A216" s="96"/>
      <c r="B216" s="10"/>
      <c r="C216" s="10"/>
      <c r="D216" s="10"/>
      <c r="E216" s="10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customFormat="false" ht="15.75" hidden="false" customHeight="true" outlineLevel="0" collapsed="false">
      <c r="A217" s="96"/>
      <c r="B217" s="10"/>
      <c r="C217" s="10"/>
      <c r="D217" s="10"/>
      <c r="E217" s="10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customFormat="false" ht="15.75" hidden="false" customHeight="true" outlineLevel="0" collapsed="false">
      <c r="A218" s="96"/>
      <c r="B218" s="10"/>
      <c r="C218" s="10"/>
      <c r="D218" s="10"/>
      <c r="E218" s="10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customFormat="false" ht="15.75" hidden="false" customHeight="true" outlineLevel="0" collapsed="false">
      <c r="A219" s="96"/>
      <c r="B219" s="10"/>
      <c r="C219" s="10"/>
      <c r="D219" s="10"/>
      <c r="E219" s="10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customFormat="false" ht="15.75" hidden="false" customHeight="true" outlineLevel="0" collapsed="false">
      <c r="A220" s="96"/>
      <c r="B220" s="10"/>
      <c r="C220" s="10"/>
      <c r="D220" s="10"/>
      <c r="E220" s="10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customFormat="false" ht="15.75" hidden="false" customHeight="true" outlineLevel="0" collapsed="false">
      <c r="A221" s="96"/>
      <c r="B221" s="10"/>
      <c r="C221" s="10"/>
      <c r="D221" s="10"/>
      <c r="E221" s="10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customFormat="false" ht="15.75" hidden="false" customHeight="true" outlineLevel="0" collapsed="false">
      <c r="A222" s="96"/>
      <c r="B222" s="10"/>
      <c r="C222" s="10"/>
      <c r="D222" s="10"/>
      <c r="E222" s="10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customFormat="false" ht="15.75" hidden="false" customHeight="true" outlineLevel="0" collapsed="false">
      <c r="A223" s="96"/>
      <c r="B223" s="10"/>
      <c r="C223" s="10"/>
      <c r="D223" s="10"/>
      <c r="E223" s="10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customFormat="false" ht="15.75" hidden="false" customHeight="true" outlineLevel="0" collapsed="false">
      <c r="A224" s="96"/>
      <c r="B224" s="10"/>
      <c r="C224" s="10"/>
      <c r="D224" s="10"/>
      <c r="E224" s="10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customFormat="false" ht="15.75" hidden="false" customHeight="true" outlineLevel="0" collapsed="false">
      <c r="A225" s="96"/>
      <c r="B225" s="10"/>
      <c r="C225" s="10"/>
      <c r="D225" s="10"/>
      <c r="E225" s="10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customFormat="false" ht="15.75" hidden="false" customHeight="true" outlineLevel="0" collapsed="false">
      <c r="A226" s="96"/>
      <c r="B226" s="10"/>
      <c r="C226" s="10"/>
      <c r="D226" s="10"/>
      <c r="E226" s="10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customFormat="false" ht="15.75" hidden="false" customHeight="true" outlineLevel="0" collapsed="false">
      <c r="A227" s="96"/>
      <c r="B227" s="10"/>
      <c r="C227" s="10"/>
      <c r="D227" s="10"/>
      <c r="E227" s="10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customFormat="false" ht="15.75" hidden="false" customHeight="true" outlineLevel="0" collapsed="false">
      <c r="A228" s="96"/>
      <c r="B228" s="10"/>
      <c r="C228" s="10"/>
      <c r="D228" s="10"/>
      <c r="E228" s="10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customFormat="false" ht="15.75" hidden="false" customHeight="true" outlineLevel="0" collapsed="false">
      <c r="A229" s="96"/>
      <c r="B229" s="10"/>
      <c r="C229" s="10"/>
      <c r="D229" s="10"/>
      <c r="E229" s="10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customFormat="false" ht="15.75" hidden="false" customHeight="true" outlineLevel="0" collapsed="false">
      <c r="A230" s="96"/>
      <c r="B230" s="10"/>
      <c r="C230" s="10"/>
      <c r="D230" s="10"/>
      <c r="E230" s="10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customFormat="false" ht="15.75" hidden="false" customHeight="true" outlineLevel="0" collapsed="false">
      <c r="A231" s="96"/>
      <c r="B231" s="10"/>
      <c r="C231" s="10"/>
      <c r="D231" s="10"/>
      <c r="E231" s="10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customFormat="false" ht="15.75" hidden="false" customHeight="true" outlineLevel="0" collapsed="false">
      <c r="A232" s="96"/>
      <c r="B232" s="10"/>
      <c r="C232" s="10"/>
      <c r="D232" s="10"/>
      <c r="E232" s="10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customFormat="false" ht="15.75" hidden="false" customHeight="true" outlineLevel="0" collapsed="false">
      <c r="A233" s="96"/>
      <c r="B233" s="10"/>
      <c r="C233" s="10"/>
      <c r="D233" s="10"/>
      <c r="E233" s="10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customFormat="false" ht="15.75" hidden="false" customHeight="true" outlineLevel="0" collapsed="false">
      <c r="A234" s="96"/>
      <c r="B234" s="10"/>
      <c r="C234" s="10"/>
      <c r="D234" s="10"/>
      <c r="E234" s="10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customFormat="false" ht="15.75" hidden="false" customHeight="true" outlineLevel="0" collapsed="false">
      <c r="A235" s="96"/>
      <c r="B235" s="10"/>
      <c r="C235" s="10"/>
      <c r="D235" s="10"/>
      <c r="E235" s="10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customFormat="false" ht="15.75" hidden="false" customHeight="true" outlineLevel="0" collapsed="false">
      <c r="A236" s="96"/>
      <c r="B236" s="10"/>
      <c r="C236" s="10"/>
      <c r="D236" s="10"/>
      <c r="E236" s="10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customFormat="false" ht="15.75" hidden="false" customHeight="true" outlineLevel="0" collapsed="false">
      <c r="A237" s="96"/>
      <c r="B237" s="10"/>
      <c r="C237" s="10"/>
      <c r="D237" s="10"/>
      <c r="E237" s="10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customFormat="false" ht="15.75" hidden="false" customHeight="true" outlineLevel="0" collapsed="false">
      <c r="A238" s="96"/>
      <c r="B238" s="10"/>
      <c r="C238" s="10"/>
      <c r="D238" s="10"/>
      <c r="E238" s="10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customFormat="false" ht="15.75" hidden="false" customHeight="true" outlineLevel="0" collapsed="false">
      <c r="A239" s="96"/>
      <c r="B239" s="10"/>
      <c r="C239" s="10"/>
      <c r="D239" s="10"/>
      <c r="E239" s="10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customFormat="false" ht="15.75" hidden="false" customHeight="true" outlineLevel="0" collapsed="false">
      <c r="A240" s="96"/>
      <c r="B240" s="10"/>
      <c r="C240" s="10"/>
      <c r="D240" s="10"/>
      <c r="E240" s="10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customFormat="false" ht="15.75" hidden="false" customHeight="true" outlineLevel="0" collapsed="false">
      <c r="A241" s="96"/>
      <c r="B241" s="10"/>
      <c r="C241" s="10"/>
      <c r="D241" s="10"/>
      <c r="E241" s="10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customFormat="false" ht="15.75" hidden="false" customHeight="true" outlineLevel="0" collapsed="false">
      <c r="A242" s="96"/>
      <c r="B242" s="10"/>
      <c r="C242" s="10"/>
      <c r="D242" s="10"/>
      <c r="E242" s="10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customFormat="false" ht="15.75" hidden="false" customHeight="true" outlineLevel="0" collapsed="false">
      <c r="A243" s="96"/>
      <c r="B243" s="10"/>
      <c r="C243" s="10"/>
      <c r="D243" s="10"/>
      <c r="E243" s="10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customFormat="false" ht="15.75" hidden="false" customHeight="true" outlineLevel="0" collapsed="false">
      <c r="A244" s="96"/>
      <c r="B244" s="10"/>
      <c r="C244" s="10"/>
      <c r="D244" s="10"/>
      <c r="E244" s="10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customFormat="false" ht="15.75" hidden="false" customHeight="true" outlineLevel="0" collapsed="false">
      <c r="A245" s="96"/>
      <c r="B245" s="10"/>
      <c r="C245" s="10"/>
      <c r="D245" s="10"/>
      <c r="E245" s="10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customFormat="false" ht="15.75" hidden="false" customHeight="true" outlineLevel="0" collapsed="false">
      <c r="A246" s="96"/>
      <c r="B246" s="10"/>
      <c r="C246" s="10"/>
      <c r="D246" s="10"/>
      <c r="E246" s="10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customFormat="false" ht="15.75" hidden="false" customHeight="true" outlineLevel="0" collapsed="false">
      <c r="A247" s="96"/>
      <c r="B247" s="10"/>
      <c r="C247" s="10"/>
      <c r="D247" s="10"/>
      <c r="E247" s="10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customFormat="false" ht="15.75" hidden="false" customHeight="true" outlineLevel="0" collapsed="false">
      <c r="A248" s="96"/>
      <c r="B248" s="10"/>
      <c r="C248" s="10"/>
      <c r="D248" s="10"/>
      <c r="E248" s="10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customFormat="false" ht="15.75" hidden="false" customHeight="true" outlineLevel="0" collapsed="false">
      <c r="A249" s="96"/>
      <c r="B249" s="10"/>
      <c r="C249" s="10"/>
      <c r="D249" s="10"/>
      <c r="E249" s="10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customFormat="false" ht="15.75" hidden="false" customHeight="true" outlineLevel="0" collapsed="false">
      <c r="A250" s="96"/>
      <c r="B250" s="10"/>
      <c r="C250" s="10"/>
      <c r="D250" s="10"/>
      <c r="E250" s="10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customFormat="false" ht="15.75" hidden="false" customHeight="true" outlineLevel="0" collapsed="false">
      <c r="A251" s="96"/>
      <c r="B251" s="10"/>
      <c r="C251" s="10"/>
      <c r="D251" s="10"/>
      <c r="E251" s="10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customFormat="false" ht="15.75" hidden="false" customHeight="true" outlineLevel="0" collapsed="false">
      <c r="A252" s="96"/>
      <c r="B252" s="10"/>
      <c r="C252" s="10"/>
      <c r="D252" s="10"/>
      <c r="E252" s="10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customFormat="false" ht="15.75" hidden="false" customHeight="true" outlineLevel="0" collapsed="false">
      <c r="A253" s="96"/>
      <c r="B253" s="10"/>
      <c r="C253" s="10"/>
      <c r="D253" s="10"/>
      <c r="E253" s="10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customFormat="false" ht="15.75" hidden="false" customHeight="true" outlineLevel="0" collapsed="false">
      <c r="A254" s="96"/>
      <c r="B254" s="10"/>
      <c r="C254" s="10"/>
      <c r="D254" s="10"/>
      <c r="E254" s="10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customFormat="false" ht="15.75" hidden="false" customHeight="true" outlineLevel="0" collapsed="false">
      <c r="A255" s="96"/>
      <c r="B255" s="10"/>
      <c r="C255" s="10"/>
      <c r="D255" s="10"/>
      <c r="E255" s="10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customFormat="false" ht="15.75" hidden="false" customHeight="true" outlineLevel="0" collapsed="false">
      <c r="A256" s="96"/>
      <c r="B256" s="10"/>
      <c r="C256" s="10"/>
      <c r="D256" s="10"/>
      <c r="E256" s="10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customFormat="false" ht="15.75" hidden="false" customHeight="true" outlineLevel="0" collapsed="false">
      <c r="A257" s="96"/>
      <c r="B257" s="10"/>
      <c r="C257" s="10"/>
      <c r="D257" s="10"/>
      <c r="E257" s="10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customFormat="false" ht="15.75" hidden="false" customHeight="true" outlineLevel="0" collapsed="false">
      <c r="A258" s="96"/>
      <c r="B258" s="10"/>
      <c r="C258" s="10"/>
      <c r="D258" s="10"/>
      <c r="E258" s="10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customFormat="false" ht="15.75" hidden="false" customHeight="true" outlineLevel="0" collapsed="false">
      <c r="A259" s="96"/>
      <c r="B259" s="10"/>
      <c r="C259" s="10"/>
      <c r="D259" s="10"/>
      <c r="E259" s="10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customFormat="false" ht="15.75" hidden="false" customHeight="true" outlineLevel="0" collapsed="false">
      <c r="A260" s="96"/>
      <c r="B260" s="10"/>
      <c r="C260" s="10"/>
      <c r="D260" s="10"/>
      <c r="E260" s="10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customFormat="false" ht="15.75" hidden="false" customHeight="true" outlineLevel="0" collapsed="false">
      <c r="A261" s="96"/>
      <c r="B261" s="10"/>
      <c r="C261" s="10"/>
      <c r="D261" s="10"/>
      <c r="E261" s="10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customFormat="false" ht="15.75" hidden="false" customHeight="true" outlineLevel="0" collapsed="false">
      <c r="A262" s="96"/>
      <c r="B262" s="10"/>
      <c r="C262" s="10"/>
      <c r="D262" s="10"/>
      <c r="E262" s="10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customFormat="false" ht="15.75" hidden="false" customHeight="true" outlineLevel="0" collapsed="false">
      <c r="A263" s="96"/>
      <c r="B263" s="10"/>
      <c r="C263" s="10"/>
      <c r="D263" s="10"/>
      <c r="E263" s="10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customFormat="false" ht="15.75" hidden="false" customHeight="true" outlineLevel="0" collapsed="false">
      <c r="A264" s="96"/>
      <c r="B264" s="10"/>
      <c r="C264" s="10"/>
      <c r="D264" s="10"/>
      <c r="E264" s="10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customFormat="false" ht="15.75" hidden="false" customHeight="true" outlineLevel="0" collapsed="false">
      <c r="A265" s="96"/>
      <c r="B265" s="10"/>
      <c r="C265" s="10"/>
      <c r="D265" s="10"/>
      <c r="E265" s="10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customFormat="false" ht="15.75" hidden="false" customHeight="true" outlineLevel="0" collapsed="false">
      <c r="A266" s="96"/>
      <c r="B266" s="10"/>
      <c r="C266" s="10"/>
      <c r="D266" s="10"/>
      <c r="E266" s="10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customFormat="false" ht="15.75" hidden="false" customHeight="true" outlineLevel="0" collapsed="false">
      <c r="A267" s="96"/>
      <c r="B267" s="10"/>
      <c r="C267" s="10"/>
      <c r="D267" s="10"/>
      <c r="E267" s="10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customFormat="false" ht="15.75" hidden="false" customHeight="true" outlineLevel="0" collapsed="false">
      <c r="A268" s="96"/>
      <c r="B268" s="10"/>
      <c r="C268" s="10"/>
      <c r="D268" s="10"/>
      <c r="E268" s="10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customFormat="false" ht="15.75" hidden="false" customHeight="true" outlineLevel="0" collapsed="false">
      <c r="A269" s="96"/>
      <c r="B269" s="10"/>
      <c r="C269" s="10"/>
      <c r="D269" s="10"/>
      <c r="E269" s="10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customFormat="false" ht="15.75" hidden="false" customHeight="true" outlineLevel="0" collapsed="false">
      <c r="A270" s="96"/>
      <c r="B270" s="10"/>
      <c r="C270" s="10"/>
      <c r="D270" s="10"/>
      <c r="E270" s="10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customFormat="false" ht="15.75" hidden="false" customHeight="true" outlineLevel="0" collapsed="false">
      <c r="A271" s="96"/>
      <c r="B271" s="10"/>
      <c r="C271" s="10"/>
      <c r="D271" s="10"/>
      <c r="E271" s="10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customFormat="false" ht="15.75" hidden="false" customHeight="true" outlineLevel="0" collapsed="false">
      <c r="A272" s="96"/>
      <c r="B272" s="10"/>
      <c r="C272" s="10"/>
      <c r="D272" s="10"/>
      <c r="E272" s="10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customFormat="false" ht="15.75" hidden="false" customHeight="true" outlineLevel="0" collapsed="false">
      <c r="A273" s="96"/>
      <c r="B273" s="10"/>
      <c r="C273" s="10"/>
      <c r="D273" s="10"/>
      <c r="E273" s="10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customFormat="false" ht="15.75" hidden="false" customHeight="true" outlineLevel="0" collapsed="false">
      <c r="A274" s="96"/>
      <c r="B274" s="10"/>
      <c r="C274" s="10"/>
      <c r="D274" s="10"/>
      <c r="E274" s="10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customFormat="false" ht="15.75" hidden="false" customHeight="true" outlineLevel="0" collapsed="false">
      <c r="A275" s="96"/>
      <c r="B275" s="10"/>
      <c r="C275" s="10"/>
      <c r="D275" s="10"/>
      <c r="E275" s="10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customFormat="false" ht="15.75" hidden="false" customHeight="true" outlineLevel="0" collapsed="false">
      <c r="A276" s="96"/>
      <c r="B276" s="10"/>
      <c r="C276" s="10"/>
      <c r="D276" s="10"/>
      <c r="E276" s="10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customFormat="false" ht="15.75" hidden="false" customHeight="true" outlineLevel="0" collapsed="false">
      <c r="A277" s="96"/>
      <c r="B277" s="10"/>
      <c r="C277" s="10"/>
      <c r="D277" s="10"/>
      <c r="E277" s="10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customFormat="false" ht="15.75" hidden="false" customHeight="true" outlineLevel="0" collapsed="false">
      <c r="A278" s="96"/>
      <c r="B278" s="10"/>
      <c r="C278" s="10"/>
      <c r="D278" s="10"/>
      <c r="E278" s="10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customFormat="false" ht="15.75" hidden="false" customHeight="true" outlineLevel="0" collapsed="false">
      <c r="A279" s="96"/>
      <c r="B279" s="10"/>
      <c r="C279" s="10"/>
      <c r="D279" s="10"/>
      <c r="E279" s="10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customFormat="false" ht="15.75" hidden="false" customHeight="true" outlineLevel="0" collapsed="false">
      <c r="A280" s="96"/>
      <c r="B280" s="10"/>
      <c r="C280" s="10"/>
      <c r="D280" s="10"/>
      <c r="E280" s="10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customFormat="false" ht="15.75" hidden="false" customHeight="true" outlineLevel="0" collapsed="false">
      <c r="A281" s="96"/>
      <c r="B281" s="10"/>
      <c r="C281" s="10"/>
      <c r="D281" s="10"/>
      <c r="E281" s="10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customFormat="false" ht="15.75" hidden="false" customHeight="true" outlineLevel="0" collapsed="false">
      <c r="A282" s="96"/>
      <c r="B282" s="10"/>
      <c r="C282" s="10"/>
      <c r="D282" s="10"/>
      <c r="E282" s="10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customFormat="false" ht="15.75" hidden="false" customHeight="true" outlineLevel="0" collapsed="false">
      <c r="A283" s="96"/>
      <c r="B283" s="10"/>
      <c r="C283" s="10"/>
      <c r="D283" s="10"/>
      <c r="E283" s="10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customFormat="false" ht="15.75" hidden="false" customHeight="true" outlineLevel="0" collapsed="false">
      <c r="A284" s="96"/>
      <c r="B284" s="10"/>
      <c r="C284" s="10"/>
      <c r="D284" s="10"/>
      <c r="E284" s="10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customFormat="false" ht="15.75" hidden="false" customHeight="true" outlineLevel="0" collapsed="false">
      <c r="A285" s="96"/>
      <c r="B285" s="10"/>
      <c r="C285" s="10"/>
      <c r="D285" s="10"/>
      <c r="E285" s="10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customFormat="false" ht="15.75" hidden="false" customHeight="true" outlineLevel="0" collapsed="false">
      <c r="A286" s="96"/>
      <c r="B286" s="10"/>
      <c r="C286" s="10"/>
      <c r="D286" s="10"/>
      <c r="E286" s="10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customFormat="false" ht="15.75" hidden="false" customHeight="true" outlineLevel="0" collapsed="false">
      <c r="A287" s="96"/>
      <c r="B287" s="10"/>
      <c r="C287" s="10"/>
      <c r="D287" s="10"/>
      <c r="E287" s="10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customFormat="false" ht="15.75" hidden="false" customHeight="true" outlineLevel="0" collapsed="false">
      <c r="A288" s="96"/>
      <c r="B288" s="10"/>
      <c r="C288" s="10"/>
      <c r="D288" s="10"/>
      <c r="E288" s="10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customFormat="false" ht="15.75" hidden="false" customHeight="true" outlineLevel="0" collapsed="false">
      <c r="A289" s="96"/>
      <c r="B289" s="10"/>
      <c r="C289" s="10"/>
      <c r="D289" s="10"/>
      <c r="E289" s="10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customFormat="false" ht="15.75" hidden="false" customHeight="true" outlineLevel="0" collapsed="false">
      <c r="A290" s="96"/>
      <c r="B290" s="10"/>
      <c r="C290" s="10"/>
      <c r="D290" s="10"/>
      <c r="E290" s="10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customFormat="false" ht="15.75" hidden="false" customHeight="true" outlineLevel="0" collapsed="false">
      <c r="A291" s="96"/>
      <c r="B291" s="10"/>
      <c r="C291" s="10"/>
      <c r="D291" s="10"/>
      <c r="E291" s="10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customFormat="false" ht="15.75" hidden="false" customHeight="true" outlineLevel="0" collapsed="false">
      <c r="A292" s="96"/>
      <c r="B292" s="10"/>
      <c r="C292" s="10"/>
      <c r="D292" s="10"/>
      <c r="E292" s="10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customFormat="false" ht="15.75" hidden="false" customHeight="true" outlineLevel="0" collapsed="false">
      <c r="A293" s="96"/>
      <c r="B293" s="10"/>
      <c r="C293" s="10"/>
      <c r="D293" s="10"/>
      <c r="E293" s="10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customFormat="false" ht="15.75" hidden="false" customHeight="true" outlineLevel="0" collapsed="false">
      <c r="A294" s="96"/>
      <c r="B294" s="10"/>
      <c r="C294" s="10"/>
      <c r="D294" s="10"/>
      <c r="E294" s="10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customFormat="false" ht="15.75" hidden="false" customHeight="true" outlineLevel="0" collapsed="false">
      <c r="A295" s="96"/>
      <c r="B295" s="10"/>
      <c r="C295" s="10"/>
      <c r="D295" s="10"/>
      <c r="E295" s="10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customFormat="false" ht="15.75" hidden="false" customHeight="true" outlineLevel="0" collapsed="false">
      <c r="A296" s="96"/>
      <c r="B296" s="10"/>
      <c r="C296" s="10"/>
      <c r="D296" s="10"/>
      <c r="E296" s="10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customFormat="false" ht="15.75" hidden="false" customHeight="true" outlineLevel="0" collapsed="false">
      <c r="A297" s="96"/>
      <c r="B297" s="10"/>
      <c r="C297" s="10"/>
      <c r="D297" s="10"/>
      <c r="E297" s="10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customFormat="false" ht="15.75" hidden="false" customHeight="true" outlineLevel="0" collapsed="false">
      <c r="A298" s="96"/>
      <c r="B298" s="10"/>
      <c r="C298" s="10"/>
      <c r="D298" s="10"/>
      <c r="E298" s="10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customFormat="false" ht="15.75" hidden="false" customHeight="true" outlineLevel="0" collapsed="false">
      <c r="A299" s="96"/>
      <c r="B299" s="10"/>
      <c r="C299" s="10"/>
      <c r="D299" s="10"/>
      <c r="E299" s="10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customFormat="false" ht="15.75" hidden="false" customHeight="true" outlineLevel="0" collapsed="false">
      <c r="A300" s="96"/>
      <c r="B300" s="10"/>
      <c r="C300" s="10"/>
      <c r="D300" s="10"/>
      <c r="E300" s="10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customFormat="false" ht="15.75" hidden="false" customHeight="true" outlineLevel="0" collapsed="false">
      <c r="A301" s="96"/>
      <c r="B301" s="10"/>
      <c r="C301" s="10"/>
      <c r="D301" s="10"/>
      <c r="E301" s="10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customFormat="false" ht="15.75" hidden="false" customHeight="true" outlineLevel="0" collapsed="false">
      <c r="A302" s="96"/>
      <c r="B302" s="10"/>
      <c r="C302" s="10"/>
      <c r="D302" s="10"/>
      <c r="E302" s="10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customFormat="false" ht="15.75" hidden="false" customHeight="true" outlineLevel="0" collapsed="false">
      <c r="A303" s="96"/>
      <c r="B303" s="10"/>
      <c r="C303" s="10"/>
      <c r="D303" s="10"/>
      <c r="E303" s="10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customFormat="false" ht="15.75" hidden="false" customHeight="true" outlineLevel="0" collapsed="false">
      <c r="A304" s="96"/>
      <c r="B304" s="10"/>
      <c r="C304" s="10"/>
      <c r="D304" s="10"/>
      <c r="E304" s="10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customFormat="false" ht="15.75" hidden="false" customHeight="true" outlineLevel="0" collapsed="false">
      <c r="A305" s="96"/>
      <c r="B305" s="10"/>
      <c r="C305" s="10"/>
      <c r="D305" s="10"/>
      <c r="E305" s="10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customFormat="false" ht="15.75" hidden="false" customHeight="true" outlineLevel="0" collapsed="false">
      <c r="A306" s="96"/>
      <c r="B306" s="10"/>
      <c r="C306" s="10"/>
      <c r="D306" s="10"/>
      <c r="E306" s="10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customFormat="false" ht="15.75" hidden="false" customHeight="true" outlineLevel="0" collapsed="false">
      <c r="A307" s="96"/>
      <c r="B307" s="10"/>
      <c r="C307" s="10"/>
      <c r="D307" s="10"/>
      <c r="E307" s="10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customFormat="false" ht="15.75" hidden="false" customHeight="true" outlineLevel="0" collapsed="false">
      <c r="A308" s="96"/>
      <c r="B308" s="10"/>
      <c r="C308" s="10"/>
      <c r="D308" s="10"/>
      <c r="E308" s="10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customFormat="false" ht="15.75" hidden="false" customHeight="true" outlineLevel="0" collapsed="false">
      <c r="A309" s="96"/>
      <c r="B309" s="10"/>
      <c r="C309" s="10"/>
      <c r="D309" s="10"/>
      <c r="E309" s="10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customFormat="false" ht="15.75" hidden="false" customHeight="true" outlineLevel="0" collapsed="false">
      <c r="A310" s="96"/>
      <c r="B310" s="10"/>
      <c r="C310" s="10"/>
      <c r="D310" s="10"/>
      <c r="E310" s="10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customFormat="false" ht="15.75" hidden="false" customHeight="true" outlineLevel="0" collapsed="false">
      <c r="A311" s="96"/>
      <c r="B311" s="10"/>
      <c r="C311" s="10"/>
      <c r="D311" s="10"/>
      <c r="E311" s="10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customFormat="false" ht="15.75" hidden="false" customHeight="true" outlineLevel="0" collapsed="false">
      <c r="A312" s="96"/>
      <c r="B312" s="10"/>
      <c r="C312" s="10"/>
      <c r="D312" s="10"/>
      <c r="E312" s="10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customFormat="false" ht="15.75" hidden="false" customHeight="true" outlineLevel="0" collapsed="false">
      <c r="A313" s="96"/>
      <c r="B313" s="10"/>
      <c r="C313" s="10"/>
      <c r="D313" s="10"/>
      <c r="E313" s="10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customFormat="false" ht="15.75" hidden="false" customHeight="true" outlineLevel="0" collapsed="false">
      <c r="A314" s="96"/>
      <c r="B314" s="10"/>
      <c r="C314" s="10"/>
      <c r="D314" s="10"/>
      <c r="E314" s="10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customFormat="false" ht="15.75" hidden="false" customHeight="true" outlineLevel="0" collapsed="false">
      <c r="A315" s="96"/>
      <c r="B315" s="10"/>
      <c r="C315" s="10"/>
      <c r="D315" s="10"/>
      <c r="E315" s="10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customFormat="false" ht="15.75" hidden="false" customHeight="true" outlineLevel="0" collapsed="false">
      <c r="A316" s="96"/>
      <c r="B316" s="10"/>
      <c r="C316" s="10"/>
      <c r="D316" s="10"/>
      <c r="E316" s="10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customFormat="false" ht="15.75" hidden="false" customHeight="true" outlineLevel="0" collapsed="false">
      <c r="A317" s="96"/>
      <c r="B317" s="10"/>
      <c r="C317" s="10"/>
      <c r="D317" s="10"/>
      <c r="E317" s="10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customFormat="false" ht="15.75" hidden="false" customHeight="true" outlineLevel="0" collapsed="false">
      <c r="A318" s="96"/>
      <c r="B318" s="10"/>
      <c r="C318" s="10"/>
      <c r="D318" s="10"/>
      <c r="E318" s="10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customFormat="false" ht="15.75" hidden="false" customHeight="true" outlineLevel="0" collapsed="false">
      <c r="A319" s="96"/>
      <c r="B319" s="10"/>
      <c r="C319" s="10"/>
      <c r="D319" s="10"/>
      <c r="E319" s="10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customFormat="false" ht="15.75" hidden="false" customHeight="true" outlineLevel="0" collapsed="false">
      <c r="A320" s="96"/>
      <c r="B320" s="10"/>
      <c r="C320" s="10"/>
      <c r="D320" s="10"/>
      <c r="E320" s="10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customFormat="false" ht="15.75" hidden="false" customHeight="true" outlineLevel="0" collapsed="false">
      <c r="A321" s="96"/>
      <c r="B321" s="10"/>
      <c r="C321" s="10"/>
      <c r="D321" s="10"/>
      <c r="E321" s="10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customFormat="false" ht="15.75" hidden="false" customHeight="true" outlineLevel="0" collapsed="false">
      <c r="A322" s="96"/>
      <c r="B322" s="10"/>
      <c r="C322" s="10"/>
      <c r="D322" s="10"/>
      <c r="E322" s="10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customFormat="false" ht="15.75" hidden="false" customHeight="true" outlineLevel="0" collapsed="false">
      <c r="A323" s="96"/>
      <c r="B323" s="10"/>
      <c r="C323" s="10"/>
      <c r="D323" s="10"/>
      <c r="E323" s="10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customFormat="false" ht="15.75" hidden="false" customHeight="true" outlineLevel="0" collapsed="false">
      <c r="A324" s="96"/>
      <c r="B324" s="10"/>
      <c r="C324" s="10"/>
      <c r="D324" s="10"/>
      <c r="E324" s="10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customFormat="false" ht="15.75" hidden="false" customHeight="true" outlineLevel="0" collapsed="false">
      <c r="A325" s="96"/>
      <c r="B325" s="10"/>
      <c r="C325" s="10"/>
      <c r="D325" s="10"/>
      <c r="E325" s="10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customFormat="false" ht="15.75" hidden="false" customHeight="true" outlineLevel="0" collapsed="false">
      <c r="A326" s="96"/>
      <c r="B326" s="10"/>
      <c r="C326" s="10"/>
      <c r="D326" s="10"/>
      <c r="E326" s="10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customFormat="false" ht="15.75" hidden="false" customHeight="true" outlineLevel="0" collapsed="false">
      <c r="A327" s="96"/>
      <c r="B327" s="10"/>
      <c r="C327" s="10"/>
      <c r="D327" s="10"/>
      <c r="E327" s="10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customFormat="false" ht="15.75" hidden="false" customHeight="true" outlineLevel="0" collapsed="false">
      <c r="A328" s="96"/>
      <c r="B328" s="10"/>
      <c r="C328" s="10"/>
      <c r="D328" s="10"/>
      <c r="E328" s="10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customFormat="false" ht="15.75" hidden="false" customHeight="true" outlineLevel="0" collapsed="false">
      <c r="A329" s="96"/>
      <c r="B329" s="10"/>
      <c r="C329" s="10"/>
      <c r="D329" s="10"/>
      <c r="E329" s="10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customFormat="false" ht="15.75" hidden="false" customHeight="true" outlineLevel="0" collapsed="false">
      <c r="A330" s="96"/>
      <c r="B330" s="10"/>
      <c r="C330" s="10"/>
      <c r="D330" s="10"/>
      <c r="E330" s="10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customFormat="false" ht="15.75" hidden="false" customHeight="true" outlineLevel="0" collapsed="false">
      <c r="A331" s="96"/>
      <c r="B331" s="10"/>
      <c r="C331" s="10"/>
      <c r="D331" s="10"/>
      <c r="E331" s="10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customFormat="false" ht="15.75" hidden="false" customHeight="true" outlineLevel="0" collapsed="false">
      <c r="A332" s="96"/>
      <c r="B332" s="10"/>
      <c r="C332" s="10"/>
      <c r="D332" s="10"/>
      <c r="E332" s="10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customFormat="false" ht="15.75" hidden="false" customHeight="true" outlineLevel="0" collapsed="false">
      <c r="A333" s="96"/>
      <c r="B333" s="10"/>
      <c r="C333" s="10"/>
      <c r="D333" s="10"/>
      <c r="E333" s="10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customFormat="false" ht="15.75" hidden="false" customHeight="true" outlineLevel="0" collapsed="false">
      <c r="A334" s="96"/>
      <c r="B334" s="10"/>
      <c r="C334" s="10"/>
      <c r="D334" s="10"/>
      <c r="E334" s="10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customFormat="false" ht="15.75" hidden="false" customHeight="true" outlineLevel="0" collapsed="false">
      <c r="A335" s="96"/>
      <c r="B335" s="10"/>
      <c r="C335" s="10"/>
      <c r="D335" s="10"/>
      <c r="E335" s="10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customFormat="false" ht="15.75" hidden="false" customHeight="true" outlineLevel="0" collapsed="false">
      <c r="A336" s="96"/>
      <c r="B336" s="10"/>
      <c r="C336" s="10"/>
      <c r="D336" s="10"/>
      <c r="E336" s="10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customFormat="false" ht="15.75" hidden="false" customHeight="true" outlineLevel="0" collapsed="false">
      <c r="A337" s="96"/>
      <c r="B337" s="10"/>
      <c r="C337" s="10"/>
      <c r="D337" s="10"/>
      <c r="E337" s="10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customFormat="false" ht="15.75" hidden="false" customHeight="true" outlineLevel="0" collapsed="false">
      <c r="A338" s="96"/>
      <c r="B338" s="10"/>
      <c r="C338" s="10"/>
      <c r="D338" s="10"/>
      <c r="E338" s="10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customFormat="false" ht="15.75" hidden="false" customHeight="true" outlineLevel="0" collapsed="false">
      <c r="A339" s="96"/>
      <c r="B339" s="10"/>
      <c r="C339" s="10"/>
      <c r="D339" s="10"/>
      <c r="E339" s="10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customFormat="false" ht="15.75" hidden="false" customHeight="true" outlineLevel="0" collapsed="false">
      <c r="A340" s="96"/>
      <c r="B340" s="10"/>
      <c r="C340" s="10"/>
      <c r="D340" s="10"/>
      <c r="E340" s="10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customFormat="false" ht="15.75" hidden="false" customHeight="true" outlineLevel="0" collapsed="false">
      <c r="A341" s="96"/>
      <c r="B341" s="10"/>
      <c r="C341" s="10"/>
      <c r="D341" s="10"/>
      <c r="E341" s="10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customFormat="false" ht="15.75" hidden="false" customHeight="true" outlineLevel="0" collapsed="false">
      <c r="A342" s="96"/>
      <c r="B342" s="10"/>
      <c r="C342" s="10"/>
      <c r="D342" s="10"/>
      <c r="E342" s="10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customFormat="false" ht="15.75" hidden="false" customHeight="true" outlineLevel="0" collapsed="false">
      <c r="A343" s="96"/>
      <c r="B343" s="10"/>
      <c r="C343" s="10"/>
      <c r="D343" s="10"/>
      <c r="E343" s="10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customFormat="false" ht="15.75" hidden="false" customHeight="true" outlineLevel="0" collapsed="false">
      <c r="A344" s="96"/>
      <c r="B344" s="10"/>
      <c r="C344" s="10"/>
      <c r="D344" s="10"/>
      <c r="E344" s="10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customFormat="false" ht="15.75" hidden="false" customHeight="true" outlineLevel="0" collapsed="false">
      <c r="A345" s="96"/>
      <c r="B345" s="10"/>
      <c r="C345" s="10"/>
      <c r="D345" s="10"/>
      <c r="E345" s="10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customFormat="false" ht="15.75" hidden="false" customHeight="true" outlineLevel="0" collapsed="false">
      <c r="A346" s="96"/>
      <c r="B346" s="10"/>
      <c r="C346" s="10"/>
      <c r="D346" s="10"/>
      <c r="E346" s="10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customFormat="false" ht="15.75" hidden="false" customHeight="true" outlineLevel="0" collapsed="false">
      <c r="A347" s="96"/>
      <c r="B347" s="10"/>
      <c r="C347" s="10"/>
      <c r="D347" s="10"/>
      <c r="E347" s="10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customFormat="false" ht="15.75" hidden="false" customHeight="true" outlineLevel="0" collapsed="false">
      <c r="A348" s="96"/>
      <c r="B348" s="10"/>
      <c r="C348" s="10"/>
      <c r="D348" s="10"/>
      <c r="E348" s="10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customFormat="false" ht="15.75" hidden="false" customHeight="true" outlineLevel="0" collapsed="false">
      <c r="A349" s="96"/>
      <c r="B349" s="10"/>
      <c r="C349" s="10"/>
      <c r="D349" s="10"/>
      <c r="E349" s="10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customFormat="false" ht="15.75" hidden="false" customHeight="true" outlineLevel="0" collapsed="false">
      <c r="A350" s="96"/>
      <c r="B350" s="10"/>
      <c r="C350" s="10"/>
      <c r="D350" s="10"/>
      <c r="E350" s="10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customFormat="false" ht="15.75" hidden="false" customHeight="true" outlineLevel="0" collapsed="false">
      <c r="A351" s="96"/>
      <c r="B351" s="10"/>
      <c r="C351" s="10"/>
      <c r="D351" s="10"/>
      <c r="E351" s="10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customFormat="false" ht="15.75" hidden="false" customHeight="true" outlineLevel="0" collapsed="false">
      <c r="A352" s="96"/>
      <c r="B352" s="10"/>
      <c r="C352" s="10"/>
      <c r="D352" s="10"/>
      <c r="E352" s="10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customFormat="false" ht="15.75" hidden="false" customHeight="true" outlineLevel="0" collapsed="false">
      <c r="A353" s="96"/>
      <c r="B353" s="10"/>
      <c r="C353" s="10"/>
      <c r="D353" s="10"/>
      <c r="E353" s="10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customFormat="false" ht="15.75" hidden="false" customHeight="true" outlineLevel="0" collapsed="false">
      <c r="A354" s="96"/>
      <c r="B354" s="10"/>
      <c r="C354" s="10"/>
      <c r="D354" s="10"/>
      <c r="E354" s="10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customFormat="false" ht="15.75" hidden="false" customHeight="true" outlineLevel="0" collapsed="false">
      <c r="A355" s="96"/>
      <c r="B355" s="10"/>
      <c r="C355" s="10"/>
      <c r="D355" s="10"/>
      <c r="E355" s="10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customFormat="false" ht="15.75" hidden="false" customHeight="true" outlineLevel="0" collapsed="false">
      <c r="A356" s="96"/>
      <c r="B356" s="10"/>
      <c r="C356" s="10"/>
      <c r="D356" s="10"/>
      <c r="E356" s="10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customFormat="false" ht="15.75" hidden="false" customHeight="true" outlineLevel="0" collapsed="false">
      <c r="A357" s="96"/>
      <c r="B357" s="10"/>
      <c r="C357" s="10"/>
      <c r="D357" s="10"/>
      <c r="E357" s="10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customFormat="false" ht="15.75" hidden="false" customHeight="true" outlineLevel="0" collapsed="false">
      <c r="A358" s="96"/>
      <c r="B358" s="10"/>
      <c r="C358" s="10"/>
      <c r="D358" s="10"/>
      <c r="E358" s="10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customFormat="false" ht="15.75" hidden="false" customHeight="true" outlineLevel="0" collapsed="false">
      <c r="A359" s="96"/>
      <c r="B359" s="10"/>
      <c r="C359" s="10"/>
      <c r="D359" s="10"/>
      <c r="E359" s="10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customFormat="false" ht="15.75" hidden="false" customHeight="true" outlineLevel="0" collapsed="false">
      <c r="A360" s="96"/>
      <c r="B360" s="10"/>
      <c r="C360" s="10"/>
      <c r="D360" s="10"/>
      <c r="E360" s="10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customFormat="false" ht="15.75" hidden="false" customHeight="true" outlineLevel="0" collapsed="false">
      <c r="A361" s="96"/>
      <c r="B361" s="10"/>
      <c r="C361" s="10"/>
      <c r="D361" s="10"/>
      <c r="E361" s="10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customFormat="false" ht="15.75" hidden="false" customHeight="true" outlineLevel="0" collapsed="false">
      <c r="A362" s="96"/>
      <c r="B362" s="10"/>
      <c r="C362" s="10"/>
      <c r="D362" s="10"/>
      <c r="E362" s="10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customFormat="false" ht="15.75" hidden="false" customHeight="true" outlineLevel="0" collapsed="false">
      <c r="A363" s="96"/>
      <c r="B363" s="10"/>
      <c r="C363" s="10"/>
      <c r="D363" s="10"/>
      <c r="E363" s="10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customFormat="false" ht="15.75" hidden="false" customHeight="true" outlineLevel="0" collapsed="false">
      <c r="A364" s="96"/>
      <c r="B364" s="10"/>
      <c r="C364" s="10"/>
      <c r="D364" s="10"/>
      <c r="E364" s="10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customFormat="false" ht="15.75" hidden="false" customHeight="true" outlineLevel="0" collapsed="false">
      <c r="A365" s="96"/>
      <c r="B365" s="10"/>
      <c r="C365" s="10"/>
      <c r="D365" s="10"/>
      <c r="E365" s="10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customFormat="false" ht="15.75" hidden="false" customHeight="true" outlineLevel="0" collapsed="false">
      <c r="A366" s="96"/>
      <c r="B366" s="10"/>
      <c r="C366" s="10"/>
      <c r="D366" s="10"/>
      <c r="E366" s="10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customFormat="false" ht="15.75" hidden="false" customHeight="true" outlineLevel="0" collapsed="false">
      <c r="A367" s="96"/>
      <c r="B367" s="10"/>
      <c r="C367" s="10"/>
      <c r="D367" s="10"/>
      <c r="E367" s="10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customFormat="false" ht="15.75" hidden="false" customHeight="true" outlineLevel="0" collapsed="false">
      <c r="A368" s="96"/>
      <c r="B368" s="10"/>
      <c r="C368" s="10"/>
      <c r="D368" s="10"/>
      <c r="E368" s="10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customFormat="false" ht="15.75" hidden="false" customHeight="true" outlineLevel="0" collapsed="false">
      <c r="A369" s="96"/>
      <c r="B369" s="10"/>
      <c r="C369" s="10"/>
      <c r="D369" s="10"/>
      <c r="E369" s="10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customFormat="false" ht="15.75" hidden="false" customHeight="true" outlineLevel="0" collapsed="false">
      <c r="A370" s="96"/>
      <c r="B370" s="10"/>
      <c r="C370" s="10"/>
      <c r="D370" s="10"/>
      <c r="E370" s="10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customFormat="false" ht="15.75" hidden="false" customHeight="true" outlineLevel="0" collapsed="false">
      <c r="A371" s="96"/>
      <c r="B371" s="10"/>
      <c r="C371" s="10"/>
      <c r="D371" s="10"/>
      <c r="E371" s="10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customFormat="false" ht="15.75" hidden="false" customHeight="true" outlineLevel="0" collapsed="false">
      <c r="A372" s="96"/>
      <c r="B372" s="10"/>
      <c r="C372" s="10"/>
      <c r="D372" s="10"/>
      <c r="E372" s="10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customFormat="false" ht="15.75" hidden="false" customHeight="true" outlineLevel="0" collapsed="false">
      <c r="A373" s="96"/>
      <c r="B373" s="10"/>
      <c r="C373" s="10"/>
      <c r="D373" s="10"/>
      <c r="E373" s="10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customFormat="false" ht="15.75" hidden="false" customHeight="true" outlineLevel="0" collapsed="false">
      <c r="A374" s="96"/>
      <c r="B374" s="10"/>
      <c r="C374" s="10"/>
      <c r="D374" s="10"/>
      <c r="E374" s="10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customFormat="false" ht="15.75" hidden="false" customHeight="true" outlineLevel="0" collapsed="false">
      <c r="A375" s="96"/>
      <c r="B375" s="10"/>
      <c r="C375" s="10"/>
      <c r="D375" s="10"/>
      <c r="E375" s="10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customFormat="false" ht="15.75" hidden="false" customHeight="true" outlineLevel="0" collapsed="false">
      <c r="A376" s="96"/>
      <c r="B376" s="10"/>
      <c r="C376" s="10"/>
      <c r="D376" s="10"/>
      <c r="E376" s="10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customFormat="false" ht="15.75" hidden="false" customHeight="true" outlineLevel="0" collapsed="false">
      <c r="A377" s="96"/>
      <c r="B377" s="10"/>
      <c r="C377" s="10"/>
      <c r="D377" s="10"/>
      <c r="E377" s="10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customFormat="false" ht="15.75" hidden="false" customHeight="true" outlineLevel="0" collapsed="false">
      <c r="A378" s="96"/>
      <c r="B378" s="10"/>
      <c r="C378" s="10"/>
      <c r="D378" s="10"/>
      <c r="E378" s="10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customFormat="false" ht="15.75" hidden="false" customHeight="true" outlineLevel="0" collapsed="false">
      <c r="A379" s="96"/>
      <c r="B379" s="10"/>
      <c r="C379" s="10"/>
      <c r="D379" s="10"/>
      <c r="E379" s="10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customFormat="false" ht="15.75" hidden="false" customHeight="true" outlineLevel="0" collapsed="false">
      <c r="A380" s="96"/>
      <c r="B380" s="10"/>
      <c r="C380" s="10"/>
      <c r="D380" s="10"/>
      <c r="E380" s="10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customFormat="false" ht="15.75" hidden="false" customHeight="true" outlineLevel="0" collapsed="false">
      <c r="A381" s="96"/>
      <c r="B381" s="10"/>
      <c r="C381" s="10"/>
      <c r="D381" s="10"/>
      <c r="E381" s="10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customFormat="false" ht="15.75" hidden="false" customHeight="true" outlineLevel="0" collapsed="false">
      <c r="A382" s="96"/>
      <c r="B382" s="10"/>
      <c r="C382" s="10"/>
      <c r="D382" s="10"/>
      <c r="E382" s="10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customFormat="false" ht="15.75" hidden="false" customHeight="true" outlineLevel="0" collapsed="false">
      <c r="A383" s="96"/>
      <c r="B383" s="10"/>
      <c r="C383" s="10"/>
      <c r="D383" s="10"/>
      <c r="E383" s="10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customFormat="false" ht="15.75" hidden="false" customHeight="true" outlineLevel="0" collapsed="false">
      <c r="A384" s="96"/>
      <c r="B384" s="10"/>
      <c r="C384" s="10"/>
      <c r="D384" s="10"/>
      <c r="E384" s="10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customFormat="false" ht="15.75" hidden="false" customHeight="true" outlineLevel="0" collapsed="false">
      <c r="A385" s="96"/>
      <c r="B385" s="10"/>
      <c r="C385" s="10"/>
      <c r="D385" s="10"/>
      <c r="E385" s="10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customFormat="false" ht="15.75" hidden="false" customHeight="true" outlineLevel="0" collapsed="false">
      <c r="A386" s="96"/>
      <c r="B386" s="10"/>
      <c r="C386" s="10"/>
      <c r="D386" s="10"/>
      <c r="E386" s="10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customFormat="false" ht="15.75" hidden="false" customHeight="true" outlineLevel="0" collapsed="false">
      <c r="A387" s="96"/>
      <c r="B387" s="10"/>
      <c r="C387" s="10"/>
      <c r="D387" s="10"/>
      <c r="E387" s="10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customFormat="false" ht="15.75" hidden="false" customHeight="true" outlineLevel="0" collapsed="false">
      <c r="A388" s="96"/>
      <c r="B388" s="10"/>
      <c r="C388" s="10"/>
      <c r="D388" s="10"/>
      <c r="E388" s="10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customFormat="false" ht="15.75" hidden="false" customHeight="true" outlineLevel="0" collapsed="false">
      <c r="A389" s="96"/>
      <c r="B389" s="10"/>
      <c r="C389" s="10"/>
      <c r="D389" s="10"/>
      <c r="E389" s="10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customFormat="false" ht="15.75" hidden="false" customHeight="true" outlineLevel="0" collapsed="false">
      <c r="A390" s="96"/>
      <c r="B390" s="10"/>
      <c r="C390" s="10"/>
      <c r="D390" s="10"/>
      <c r="E390" s="10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customFormat="false" ht="15.75" hidden="false" customHeight="true" outlineLevel="0" collapsed="false">
      <c r="A391" s="96"/>
      <c r="B391" s="10"/>
      <c r="C391" s="10"/>
      <c r="D391" s="10"/>
      <c r="E391" s="10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customFormat="false" ht="15.75" hidden="false" customHeight="true" outlineLevel="0" collapsed="false">
      <c r="A392" s="96"/>
      <c r="B392" s="10"/>
      <c r="C392" s="10"/>
      <c r="D392" s="10"/>
      <c r="E392" s="10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customFormat="false" ht="15.75" hidden="false" customHeight="true" outlineLevel="0" collapsed="false">
      <c r="A393" s="96"/>
      <c r="B393" s="10"/>
      <c r="C393" s="10"/>
      <c r="D393" s="10"/>
      <c r="E393" s="10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customFormat="false" ht="15.75" hidden="false" customHeight="true" outlineLevel="0" collapsed="false">
      <c r="A394" s="96"/>
      <c r="B394" s="10"/>
      <c r="C394" s="10"/>
      <c r="D394" s="10"/>
      <c r="E394" s="10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customFormat="false" ht="15.75" hidden="false" customHeight="true" outlineLevel="0" collapsed="false">
      <c r="A395" s="96"/>
      <c r="B395" s="10"/>
      <c r="C395" s="10"/>
      <c r="D395" s="10"/>
      <c r="E395" s="10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customFormat="false" ht="15.75" hidden="false" customHeight="true" outlineLevel="0" collapsed="false">
      <c r="A396" s="96"/>
      <c r="B396" s="10"/>
      <c r="C396" s="10"/>
      <c r="D396" s="10"/>
      <c r="E396" s="10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customFormat="false" ht="15.75" hidden="false" customHeight="true" outlineLevel="0" collapsed="false">
      <c r="A397" s="96"/>
      <c r="B397" s="10"/>
      <c r="C397" s="10"/>
      <c r="D397" s="10"/>
      <c r="E397" s="10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customFormat="false" ht="15.75" hidden="false" customHeight="true" outlineLevel="0" collapsed="false">
      <c r="A398" s="96"/>
      <c r="B398" s="10"/>
      <c r="C398" s="10"/>
      <c r="D398" s="10"/>
      <c r="E398" s="10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customFormat="false" ht="15.75" hidden="false" customHeight="true" outlineLevel="0" collapsed="false">
      <c r="A399" s="96"/>
      <c r="B399" s="10"/>
      <c r="C399" s="10"/>
      <c r="D399" s="10"/>
      <c r="E399" s="10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customFormat="false" ht="15.75" hidden="false" customHeight="true" outlineLevel="0" collapsed="false">
      <c r="A400" s="96"/>
      <c r="B400" s="10"/>
      <c r="C400" s="10"/>
      <c r="D400" s="10"/>
      <c r="E400" s="10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customFormat="false" ht="15.75" hidden="false" customHeight="true" outlineLevel="0" collapsed="false">
      <c r="A401" s="96"/>
      <c r="B401" s="10"/>
      <c r="C401" s="10"/>
      <c r="D401" s="10"/>
      <c r="E401" s="10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customFormat="false" ht="15.75" hidden="false" customHeight="true" outlineLevel="0" collapsed="false">
      <c r="A402" s="96"/>
      <c r="B402" s="10"/>
      <c r="C402" s="10"/>
      <c r="D402" s="10"/>
      <c r="E402" s="10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customFormat="false" ht="15.75" hidden="false" customHeight="true" outlineLevel="0" collapsed="false">
      <c r="A403" s="96"/>
      <c r="B403" s="10"/>
      <c r="C403" s="10"/>
      <c r="D403" s="10"/>
      <c r="E403" s="10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customFormat="false" ht="15.75" hidden="false" customHeight="true" outlineLevel="0" collapsed="false">
      <c r="A404" s="96"/>
      <c r="B404" s="10"/>
      <c r="C404" s="10"/>
      <c r="D404" s="10"/>
      <c r="E404" s="10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customFormat="false" ht="15.75" hidden="false" customHeight="true" outlineLevel="0" collapsed="false">
      <c r="A405" s="96"/>
      <c r="B405" s="10"/>
      <c r="C405" s="10"/>
      <c r="D405" s="10"/>
      <c r="E405" s="10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customFormat="false" ht="15.75" hidden="false" customHeight="true" outlineLevel="0" collapsed="false">
      <c r="A406" s="96"/>
      <c r="B406" s="10"/>
      <c r="C406" s="10"/>
      <c r="D406" s="10"/>
      <c r="E406" s="10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customFormat="false" ht="15.75" hidden="false" customHeight="true" outlineLevel="0" collapsed="false">
      <c r="A407" s="12"/>
      <c r="B407" s="10"/>
      <c r="C407" s="10"/>
      <c r="D407" s="10"/>
      <c r="E407" s="10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customFormat="false" ht="15.75" hidden="false" customHeight="true" outlineLevel="0" collapsed="false">
      <c r="A408" s="12"/>
      <c r="B408" s="10"/>
      <c r="C408" s="10"/>
      <c r="D408" s="10"/>
      <c r="E408" s="10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customFormat="false" ht="15.75" hidden="false" customHeight="true" outlineLevel="0" collapsed="false">
      <c r="A409" s="12"/>
      <c r="B409" s="10"/>
      <c r="C409" s="10"/>
      <c r="D409" s="10"/>
      <c r="E409" s="10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customFormat="false" ht="15.75" hidden="false" customHeight="true" outlineLevel="0" collapsed="false">
      <c r="A410" s="12"/>
      <c r="B410" s="10"/>
      <c r="C410" s="10"/>
      <c r="D410" s="10"/>
      <c r="E410" s="10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customFormat="false" ht="15.75" hidden="false" customHeight="true" outlineLevel="0" collapsed="false">
      <c r="A411" s="12"/>
      <c r="B411" s="10"/>
      <c r="C411" s="10"/>
      <c r="D411" s="10"/>
      <c r="E411" s="10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customFormat="false" ht="15.75" hidden="false" customHeight="true" outlineLevel="0" collapsed="false">
      <c r="A412" s="12"/>
      <c r="B412" s="10"/>
      <c r="C412" s="10"/>
      <c r="D412" s="10"/>
      <c r="E412" s="10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customFormat="false" ht="15.75" hidden="false" customHeight="true" outlineLevel="0" collapsed="false">
      <c r="A413" s="12"/>
      <c r="B413" s="10"/>
      <c r="C413" s="10"/>
      <c r="D413" s="10"/>
      <c r="E413" s="10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customFormat="false" ht="15.75" hidden="false" customHeight="true" outlineLevel="0" collapsed="false">
      <c r="A414" s="12"/>
      <c r="B414" s="10"/>
      <c r="C414" s="10"/>
      <c r="D414" s="10"/>
      <c r="E414" s="10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customFormat="false" ht="15.75" hidden="false" customHeight="true" outlineLevel="0" collapsed="false">
      <c r="A415" s="12"/>
      <c r="B415" s="10"/>
      <c r="C415" s="10"/>
      <c r="D415" s="10"/>
      <c r="E415" s="10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customFormat="false" ht="15.75" hidden="false" customHeight="true" outlineLevel="0" collapsed="false">
      <c r="A416" s="12"/>
      <c r="B416" s="10"/>
      <c r="C416" s="10"/>
      <c r="D416" s="10"/>
      <c r="E416" s="10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customFormat="false" ht="15.75" hidden="false" customHeight="true" outlineLevel="0" collapsed="false">
      <c r="A417" s="12"/>
      <c r="B417" s="10"/>
      <c r="C417" s="10"/>
      <c r="D417" s="10"/>
      <c r="E417" s="10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customFormat="false" ht="15.75" hidden="false" customHeight="true" outlineLevel="0" collapsed="false">
      <c r="A418" s="12"/>
      <c r="B418" s="10"/>
      <c r="C418" s="10"/>
      <c r="D418" s="10"/>
      <c r="E418" s="10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customFormat="false" ht="15.75" hidden="false" customHeight="true" outlineLevel="0" collapsed="false">
      <c r="A419" s="12"/>
      <c r="B419" s="10"/>
      <c r="C419" s="10"/>
      <c r="D419" s="10"/>
      <c r="E419" s="10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customFormat="false" ht="15.75" hidden="false" customHeight="true" outlineLevel="0" collapsed="false">
      <c r="A420" s="12"/>
      <c r="B420" s="10"/>
      <c r="C420" s="10"/>
      <c r="D420" s="10"/>
      <c r="E420" s="10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customFormat="false" ht="15.75" hidden="false" customHeight="true" outlineLevel="0" collapsed="false">
      <c r="A421" s="12"/>
      <c r="B421" s="10"/>
      <c r="C421" s="10"/>
      <c r="D421" s="10"/>
      <c r="E421" s="10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customFormat="false" ht="15.75" hidden="false" customHeight="true" outlineLevel="0" collapsed="false">
      <c r="A422" s="12"/>
      <c r="B422" s="10"/>
      <c r="C422" s="10"/>
      <c r="D422" s="10"/>
      <c r="E422" s="10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customFormat="false" ht="15.75" hidden="false" customHeight="true" outlineLevel="0" collapsed="false">
      <c r="A423" s="12"/>
      <c r="B423" s="10"/>
      <c r="C423" s="10"/>
      <c r="D423" s="10"/>
      <c r="E423" s="10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customFormat="false" ht="15.75" hidden="false" customHeight="true" outlineLevel="0" collapsed="false">
      <c r="A424" s="12"/>
      <c r="B424" s="10"/>
      <c r="C424" s="10"/>
      <c r="D424" s="10"/>
      <c r="E424" s="10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customFormat="false" ht="15.75" hidden="false" customHeight="true" outlineLevel="0" collapsed="false">
      <c r="A425" s="12"/>
      <c r="B425" s="10"/>
      <c r="C425" s="10"/>
      <c r="D425" s="10"/>
      <c r="E425" s="10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customFormat="false" ht="15.75" hidden="false" customHeight="true" outlineLevel="0" collapsed="false">
      <c r="A426" s="12"/>
      <c r="B426" s="10"/>
      <c r="C426" s="10"/>
      <c r="D426" s="10"/>
      <c r="E426" s="10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customFormat="false" ht="15.75" hidden="false" customHeight="true" outlineLevel="0" collapsed="false">
      <c r="A427" s="12"/>
      <c r="B427" s="10"/>
      <c r="C427" s="10"/>
      <c r="D427" s="10"/>
      <c r="E427" s="10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customFormat="false" ht="15.75" hidden="false" customHeight="true" outlineLevel="0" collapsed="false">
      <c r="A428" s="12"/>
      <c r="B428" s="10"/>
      <c r="C428" s="10"/>
      <c r="D428" s="10"/>
      <c r="E428" s="10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customFormat="false" ht="15.75" hidden="false" customHeight="true" outlineLevel="0" collapsed="false">
      <c r="A429" s="12"/>
      <c r="B429" s="10"/>
      <c r="C429" s="10"/>
      <c r="D429" s="10"/>
      <c r="E429" s="10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customFormat="false" ht="15.75" hidden="false" customHeight="true" outlineLevel="0" collapsed="false">
      <c r="A430" s="12"/>
      <c r="B430" s="10"/>
      <c r="C430" s="10"/>
      <c r="D430" s="10"/>
      <c r="E430" s="10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customFormat="false" ht="15.75" hidden="false" customHeight="true" outlineLevel="0" collapsed="false">
      <c r="A431" s="12"/>
      <c r="B431" s="10"/>
      <c r="C431" s="10"/>
      <c r="D431" s="10"/>
      <c r="E431" s="10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customFormat="false" ht="15.75" hidden="false" customHeight="true" outlineLevel="0" collapsed="false">
      <c r="A432" s="12"/>
      <c r="B432" s="10"/>
      <c r="C432" s="10"/>
      <c r="D432" s="10"/>
      <c r="E432" s="10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customFormat="false" ht="15.75" hidden="false" customHeight="true" outlineLevel="0" collapsed="false">
      <c r="A433" s="12"/>
      <c r="B433" s="10"/>
      <c r="C433" s="10"/>
      <c r="D433" s="10"/>
      <c r="E433" s="10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customFormat="false" ht="15.75" hidden="false" customHeight="true" outlineLevel="0" collapsed="false">
      <c r="A434" s="12"/>
      <c r="B434" s="10"/>
      <c r="C434" s="10"/>
      <c r="D434" s="10"/>
      <c r="E434" s="10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customFormat="false" ht="15.75" hidden="false" customHeight="true" outlineLevel="0" collapsed="false">
      <c r="A435" s="12"/>
      <c r="B435" s="10"/>
      <c r="C435" s="10"/>
      <c r="D435" s="10"/>
      <c r="E435" s="10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customFormat="false" ht="15.75" hidden="false" customHeight="true" outlineLevel="0" collapsed="false">
      <c r="A436" s="12"/>
      <c r="B436" s="10"/>
      <c r="C436" s="10"/>
      <c r="D436" s="10"/>
      <c r="E436" s="10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customFormat="false" ht="15.75" hidden="false" customHeight="true" outlineLevel="0" collapsed="false">
      <c r="A437" s="12"/>
      <c r="B437" s="10"/>
      <c r="C437" s="10"/>
      <c r="D437" s="10"/>
      <c r="E437" s="10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customFormat="false" ht="15.75" hidden="false" customHeight="true" outlineLevel="0" collapsed="false">
      <c r="A438" s="12"/>
      <c r="B438" s="10"/>
      <c r="C438" s="10"/>
      <c r="D438" s="10"/>
      <c r="E438" s="10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customFormat="false" ht="15.75" hidden="false" customHeight="true" outlineLevel="0" collapsed="false">
      <c r="A439" s="12"/>
      <c r="B439" s="10"/>
      <c r="C439" s="10"/>
      <c r="D439" s="10"/>
      <c r="E439" s="10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customFormat="false" ht="15.75" hidden="false" customHeight="true" outlineLevel="0" collapsed="false">
      <c r="A440" s="12"/>
      <c r="B440" s="10"/>
      <c r="C440" s="10"/>
      <c r="D440" s="10"/>
      <c r="E440" s="10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customFormat="false" ht="15.75" hidden="false" customHeight="true" outlineLevel="0" collapsed="false">
      <c r="A441" s="12"/>
      <c r="B441" s="10"/>
      <c r="C441" s="10"/>
      <c r="D441" s="10"/>
      <c r="E441" s="10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customFormat="false" ht="15.75" hidden="false" customHeight="true" outlineLevel="0" collapsed="false">
      <c r="A442" s="12"/>
      <c r="B442" s="10"/>
      <c r="C442" s="10"/>
      <c r="D442" s="10"/>
      <c r="E442" s="10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customFormat="false" ht="15.75" hidden="false" customHeight="true" outlineLevel="0" collapsed="false">
      <c r="A443" s="12"/>
      <c r="B443" s="10"/>
      <c r="C443" s="10"/>
      <c r="D443" s="10"/>
      <c r="E443" s="10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customFormat="false" ht="15.75" hidden="false" customHeight="true" outlineLevel="0" collapsed="false">
      <c r="A444" s="12"/>
      <c r="B444" s="10"/>
      <c r="C444" s="10"/>
      <c r="D444" s="10"/>
      <c r="E444" s="10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customFormat="false" ht="15.75" hidden="false" customHeight="true" outlineLevel="0" collapsed="false">
      <c r="A445" s="12"/>
      <c r="B445" s="10"/>
      <c r="C445" s="10"/>
      <c r="D445" s="10"/>
      <c r="E445" s="10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customFormat="false" ht="15.75" hidden="false" customHeight="true" outlineLevel="0" collapsed="false">
      <c r="A446" s="12"/>
      <c r="B446" s="10"/>
      <c r="C446" s="10"/>
      <c r="D446" s="10"/>
      <c r="E446" s="10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customFormat="false" ht="15.75" hidden="false" customHeight="true" outlineLevel="0" collapsed="false">
      <c r="A447" s="12"/>
      <c r="B447" s="10"/>
      <c r="C447" s="10"/>
      <c r="D447" s="10"/>
      <c r="E447" s="10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customFormat="false" ht="15.75" hidden="false" customHeight="true" outlineLevel="0" collapsed="false">
      <c r="A448" s="12"/>
      <c r="B448" s="10"/>
      <c r="C448" s="10"/>
      <c r="D448" s="10"/>
      <c r="E448" s="10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customFormat="false" ht="15.75" hidden="false" customHeight="true" outlineLevel="0" collapsed="false">
      <c r="A449" s="12"/>
      <c r="B449" s="10"/>
      <c r="C449" s="10"/>
      <c r="D449" s="10"/>
      <c r="E449" s="10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customFormat="false" ht="15.75" hidden="false" customHeight="true" outlineLevel="0" collapsed="false">
      <c r="A450" s="12"/>
      <c r="B450" s="10"/>
      <c r="C450" s="10"/>
      <c r="D450" s="10"/>
      <c r="E450" s="10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customFormat="false" ht="15.75" hidden="false" customHeight="true" outlineLevel="0" collapsed="false">
      <c r="A451" s="12"/>
      <c r="B451" s="10"/>
      <c r="C451" s="10"/>
      <c r="D451" s="10"/>
      <c r="E451" s="10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customFormat="false" ht="15.75" hidden="false" customHeight="true" outlineLevel="0" collapsed="false">
      <c r="A452" s="12"/>
      <c r="B452" s="10"/>
      <c r="C452" s="10"/>
      <c r="D452" s="10"/>
      <c r="E452" s="10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customFormat="false" ht="15.75" hidden="false" customHeight="true" outlineLevel="0" collapsed="false">
      <c r="A453" s="12"/>
      <c r="B453" s="12"/>
      <c r="C453" s="12"/>
      <c r="D453" s="12"/>
      <c r="E453" s="12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customFormat="false" ht="15.75" hidden="false" customHeight="true" outlineLevel="0" collapsed="false">
      <c r="A454" s="12"/>
      <c r="B454" s="12"/>
      <c r="C454" s="12"/>
      <c r="D454" s="12"/>
      <c r="E454" s="12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customFormat="false" ht="15.75" hidden="false" customHeight="true" outlineLevel="0" collapsed="false">
      <c r="A455" s="12"/>
      <c r="B455" s="12"/>
      <c r="C455" s="12"/>
      <c r="D455" s="12"/>
      <c r="E455" s="12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customFormat="false" ht="15.75" hidden="false" customHeight="true" outlineLevel="0" collapsed="false">
      <c r="A456" s="12"/>
      <c r="B456" s="12"/>
      <c r="C456" s="12"/>
      <c r="D456" s="12"/>
      <c r="E456" s="12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customFormat="false" ht="15.75" hidden="false" customHeight="true" outlineLevel="0" collapsed="false">
      <c r="A457" s="12"/>
      <c r="B457" s="12"/>
      <c r="C457" s="12"/>
      <c r="D457" s="12"/>
      <c r="E457" s="12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customFormat="false" ht="15.75" hidden="false" customHeight="true" outlineLevel="0" collapsed="false">
      <c r="A458" s="12"/>
      <c r="B458" s="12"/>
      <c r="C458" s="12"/>
      <c r="D458" s="12"/>
      <c r="E458" s="12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customFormat="false" ht="15.75" hidden="false" customHeight="true" outlineLevel="0" collapsed="false">
      <c r="A459" s="12"/>
      <c r="B459" s="12"/>
      <c r="C459" s="12"/>
      <c r="D459" s="12"/>
      <c r="E459" s="12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customFormat="false" ht="15.75" hidden="false" customHeight="true" outlineLevel="0" collapsed="false">
      <c r="A460" s="12"/>
      <c r="B460" s="12"/>
      <c r="C460" s="12"/>
      <c r="D460" s="12"/>
      <c r="E460" s="12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customFormat="false" ht="15.75" hidden="false" customHeight="true" outlineLevel="0" collapsed="false">
      <c r="A461" s="12"/>
      <c r="B461" s="12"/>
      <c r="C461" s="12"/>
      <c r="D461" s="12"/>
      <c r="E461" s="12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customFormat="false" ht="15.75" hidden="false" customHeight="true" outlineLevel="0" collapsed="false">
      <c r="A462" s="12"/>
      <c r="B462" s="12"/>
      <c r="C462" s="12"/>
      <c r="D462" s="12"/>
      <c r="E462" s="12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customFormat="false" ht="15.75" hidden="false" customHeight="true" outlineLevel="0" collapsed="false">
      <c r="A463" s="12"/>
      <c r="B463" s="12"/>
      <c r="C463" s="12"/>
      <c r="D463" s="12"/>
      <c r="E463" s="12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customFormat="false" ht="15.75" hidden="false" customHeight="true" outlineLevel="0" collapsed="false">
      <c r="A464" s="12"/>
      <c r="B464" s="12"/>
      <c r="C464" s="12"/>
      <c r="D464" s="12"/>
      <c r="E464" s="12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customFormat="false" ht="15.75" hidden="false" customHeight="true" outlineLevel="0" collapsed="false">
      <c r="A465" s="12"/>
      <c r="B465" s="12"/>
      <c r="C465" s="12"/>
      <c r="D465" s="12"/>
      <c r="E465" s="12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customFormat="false" ht="15.75" hidden="false" customHeight="true" outlineLevel="0" collapsed="false">
      <c r="A466" s="12"/>
      <c r="B466" s="12"/>
      <c r="C466" s="12"/>
      <c r="D466" s="12"/>
      <c r="E466" s="12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customFormat="false" ht="15.75" hidden="false" customHeight="true" outlineLevel="0" collapsed="false">
      <c r="A467" s="12"/>
      <c r="B467" s="12"/>
      <c r="C467" s="12"/>
      <c r="D467" s="12"/>
      <c r="E467" s="12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customFormat="false" ht="15.75" hidden="false" customHeight="true" outlineLevel="0" collapsed="false">
      <c r="A468" s="12"/>
      <c r="B468" s="12"/>
      <c r="C468" s="12"/>
      <c r="D468" s="12"/>
      <c r="E468" s="12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customFormat="false" ht="15.75" hidden="false" customHeight="true" outlineLevel="0" collapsed="false">
      <c r="A469" s="12"/>
      <c r="B469" s="12"/>
      <c r="C469" s="12"/>
      <c r="D469" s="12"/>
      <c r="E469" s="12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customFormat="false" ht="15.75" hidden="false" customHeight="true" outlineLevel="0" collapsed="false">
      <c r="A470" s="12"/>
      <c r="B470" s="12"/>
      <c r="C470" s="12"/>
      <c r="D470" s="12"/>
      <c r="E470" s="12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customFormat="false" ht="15.75" hidden="false" customHeight="true" outlineLevel="0" collapsed="false">
      <c r="A471" s="12"/>
      <c r="B471" s="12"/>
      <c r="C471" s="12"/>
      <c r="D471" s="12"/>
      <c r="E471" s="12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customFormat="false" ht="15.75" hidden="false" customHeight="true" outlineLevel="0" collapsed="false">
      <c r="A472" s="12"/>
      <c r="B472" s="12"/>
      <c r="C472" s="12"/>
      <c r="D472" s="12"/>
      <c r="E472" s="12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customFormat="false" ht="15.75" hidden="false" customHeight="true" outlineLevel="0" collapsed="false">
      <c r="A473" s="12"/>
      <c r="B473" s="12"/>
      <c r="C473" s="12"/>
      <c r="D473" s="12"/>
      <c r="E473" s="12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customFormat="false" ht="15.75" hidden="false" customHeight="true" outlineLevel="0" collapsed="false">
      <c r="A474" s="12"/>
      <c r="B474" s="12"/>
      <c r="C474" s="12"/>
      <c r="D474" s="12"/>
      <c r="E474" s="12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customFormat="false" ht="15.75" hidden="false" customHeight="true" outlineLevel="0" collapsed="false">
      <c r="A475" s="12"/>
      <c r="B475" s="12"/>
      <c r="C475" s="12"/>
      <c r="D475" s="12"/>
      <c r="E475" s="12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customFormat="false" ht="15.75" hidden="false" customHeight="true" outlineLevel="0" collapsed="false">
      <c r="A476" s="12"/>
      <c r="B476" s="12"/>
      <c r="C476" s="12"/>
      <c r="D476" s="12"/>
      <c r="E476" s="12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customFormat="false" ht="15.75" hidden="false" customHeight="true" outlineLevel="0" collapsed="false">
      <c r="A477" s="12"/>
      <c r="B477" s="12"/>
      <c r="C477" s="12"/>
      <c r="D477" s="12"/>
      <c r="E477" s="12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customFormat="false" ht="15.75" hidden="false" customHeight="true" outlineLevel="0" collapsed="false">
      <c r="A478" s="12"/>
      <c r="B478" s="12"/>
      <c r="C478" s="12"/>
      <c r="D478" s="12"/>
      <c r="E478" s="12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customFormat="false" ht="15.75" hidden="false" customHeight="true" outlineLevel="0" collapsed="false">
      <c r="A479" s="12"/>
      <c r="B479" s="12"/>
      <c r="C479" s="12"/>
      <c r="D479" s="12"/>
      <c r="E479" s="12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customFormat="false" ht="15.75" hidden="false" customHeight="true" outlineLevel="0" collapsed="false">
      <c r="A480" s="12"/>
      <c r="B480" s="12"/>
      <c r="C480" s="12"/>
      <c r="D480" s="12"/>
      <c r="E480" s="12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customFormat="false" ht="15.75" hidden="false" customHeight="true" outlineLevel="0" collapsed="false">
      <c r="A481" s="12"/>
      <c r="B481" s="12"/>
      <c r="C481" s="12"/>
      <c r="D481" s="12"/>
      <c r="E481" s="12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customFormat="false" ht="15.75" hidden="false" customHeight="true" outlineLevel="0" collapsed="false">
      <c r="A482" s="12"/>
      <c r="B482" s="12"/>
      <c r="C482" s="12"/>
      <c r="D482" s="12"/>
      <c r="E482" s="12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customFormat="false" ht="15.75" hidden="false" customHeight="true" outlineLevel="0" collapsed="false">
      <c r="A483" s="12"/>
      <c r="B483" s="12"/>
      <c r="C483" s="12"/>
      <c r="D483" s="12"/>
      <c r="E483" s="12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customFormat="false" ht="15.75" hidden="false" customHeight="true" outlineLevel="0" collapsed="false">
      <c r="A484" s="12"/>
      <c r="B484" s="12"/>
      <c r="C484" s="12"/>
      <c r="D484" s="12"/>
      <c r="E484" s="12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customFormat="false" ht="15.75" hidden="false" customHeight="true" outlineLevel="0" collapsed="false">
      <c r="A485" s="12"/>
      <c r="B485" s="12"/>
      <c r="C485" s="12"/>
      <c r="D485" s="12"/>
      <c r="E485" s="12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customFormat="false" ht="15.75" hidden="false" customHeight="true" outlineLevel="0" collapsed="false">
      <c r="A486" s="12"/>
      <c r="B486" s="12"/>
      <c r="C486" s="12"/>
      <c r="D486" s="12"/>
      <c r="E486" s="12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customFormat="false" ht="15.75" hidden="false" customHeight="true" outlineLevel="0" collapsed="false">
      <c r="A487" s="12"/>
      <c r="B487" s="12"/>
      <c r="C487" s="12"/>
      <c r="D487" s="12"/>
      <c r="E487" s="12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customFormat="false" ht="15.75" hidden="false" customHeight="true" outlineLevel="0" collapsed="false">
      <c r="A488" s="12"/>
      <c r="B488" s="12"/>
      <c r="C488" s="12"/>
      <c r="D488" s="12"/>
      <c r="E488" s="12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customFormat="false" ht="15.75" hidden="false" customHeight="true" outlineLevel="0" collapsed="false">
      <c r="A489" s="12"/>
      <c r="B489" s="12"/>
      <c r="C489" s="12"/>
      <c r="D489" s="12"/>
      <c r="E489" s="12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customFormat="false" ht="15.75" hidden="false" customHeight="true" outlineLevel="0" collapsed="false">
      <c r="A490" s="12"/>
      <c r="B490" s="12"/>
      <c r="C490" s="12"/>
      <c r="D490" s="12"/>
      <c r="E490" s="12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customFormat="false" ht="15.75" hidden="false" customHeight="true" outlineLevel="0" collapsed="false">
      <c r="A491" s="12"/>
      <c r="B491" s="12"/>
      <c r="C491" s="12"/>
      <c r="D491" s="12"/>
      <c r="E491" s="12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customFormat="false" ht="15.75" hidden="false" customHeight="true" outlineLevel="0" collapsed="false">
      <c r="A492" s="12"/>
      <c r="B492" s="12"/>
      <c r="C492" s="12"/>
      <c r="D492" s="12"/>
      <c r="E492" s="12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customFormat="false" ht="15.75" hidden="false" customHeight="true" outlineLevel="0" collapsed="false">
      <c r="A493" s="12"/>
      <c r="B493" s="12"/>
      <c r="C493" s="12"/>
      <c r="D493" s="12"/>
      <c r="E493" s="12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customFormat="false" ht="15.75" hidden="false" customHeight="true" outlineLevel="0" collapsed="false">
      <c r="A494" s="12"/>
      <c r="B494" s="12"/>
      <c r="C494" s="12"/>
      <c r="D494" s="12"/>
      <c r="E494" s="12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customFormat="false" ht="15.75" hidden="false" customHeight="true" outlineLevel="0" collapsed="false">
      <c r="A495" s="12"/>
      <c r="B495" s="12"/>
      <c r="C495" s="12"/>
      <c r="D495" s="12"/>
      <c r="E495" s="12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customFormat="false" ht="15.75" hidden="false" customHeight="true" outlineLevel="0" collapsed="false">
      <c r="A496" s="12"/>
      <c r="B496" s="12"/>
      <c r="C496" s="12"/>
      <c r="D496" s="12"/>
      <c r="E496" s="12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customFormat="false" ht="15.75" hidden="false" customHeight="true" outlineLevel="0" collapsed="false">
      <c r="A497" s="12"/>
      <c r="B497" s="12"/>
      <c r="C497" s="12"/>
      <c r="D497" s="12"/>
      <c r="E497" s="12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customFormat="false" ht="15.75" hidden="false" customHeight="true" outlineLevel="0" collapsed="false">
      <c r="A498" s="12"/>
      <c r="B498" s="12"/>
      <c r="C498" s="12"/>
      <c r="D498" s="12"/>
      <c r="E498" s="12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customFormat="false" ht="15.75" hidden="false" customHeight="true" outlineLevel="0" collapsed="false">
      <c r="A499" s="12"/>
      <c r="B499" s="12"/>
      <c r="C499" s="12"/>
      <c r="D499" s="12"/>
      <c r="E499" s="12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customFormat="false" ht="15.75" hidden="false" customHeight="true" outlineLevel="0" collapsed="false">
      <c r="A500" s="12"/>
      <c r="B500" s="12"/>
      <c r="C500" s="12"/>
      <c r="D500" s="12"/>
      <c r="E500" s="12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customFormat="false" ht="15.75" hidden="false" customHeight="true" outlineLevel="0" collapsed="false">
      <c r="A501" s="12"/>
      <c r="B501" s="12"/>
      <c r="C501" s="12"/>
      <c r="D501" s="12"/>
      <c r="E501" s="12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customFormat="false" ht="15.75" hidden="false" customHeight="true" outlineLevel="0" collapsed="false">
      <c r="A502" s="12"/>
      <c r="B502" s="12"/>
      <c r="C502" s="12"/>
      <c r="D502" s="12"/>
      <c r="E502" s="12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customFormat="false" ht="15.75" hidden="false" customHeight="true" outlineLevel="0" collapsed="false">
      <c r="A503" s="12"/>
      <c r="B503" s="12"/>
      <c r="C503" s="12"/>
      <c r="D503" s="12"/>
      <c r="E503" s="12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customFormat="false" ht="15.75" hidden="false" customHeight="true" outlineLevel="0" collapsed="false">
      <c r="A504" s="12"/>
      <c r="B504" s="12"/>
      <c r="C504" s="12"/>
      <c r="D504" s="12"/>
      <c r="E504" s="12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customFormat="false" ht="15.75" hidden="false" customHeight="true" outlineLevel="0" collapsed="false">
      <c r="A505" s="12"/>
      <c r="B505" s="12"/>
      <c r="C505" s="12"/>
      <c r="D505" s="12"/>
      <c r="E505" s="12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customFormat="false" ht="15.75" hidden="false" customHeight="true" outlineLevel="0" collapsed="false">
      <c r="A506" s="12"/>
      <c r="B506" s="12"/>
      <c r="C506" s="12"/>
      <c r="D506" s="12"/>
      <c r="E506" s="12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customFormat="false" ht="15.75" hidden="false" customHeight="true" outlineLevel="0" collapsed="false">
      <c r="A507" s="12"/>
      <c r="B507" s="12"/>
      <c r="C507" s="12"/>
      <c r="D507" s="12"/>
      <c r="E507" s="12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customFormat="false" ht="15.75" hidden="false" customHeight="true" outlineLevel="0" collapsed="false">
      <c r="A508" s="12"/>
      <c r="B508" s="12"/>
      <c r="C508" s="12"/>
      <c r="D508" s="12"/>
      <c r="E508" s="12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customFormat="false" ht="15.75" hidden="false" customHeight="true" outlineLevel="0" collapsed="false">
      <c r="A509" s="12"/>
      <c r="B509" s="12"/>
      <c r="C509" s="12"/>
      <c r="D509" s="12"/>
      <c r="E509" s="12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customFormat="false" ht="15.75" hidden="false" customHeight="true" outlineLevel="0" collapsed="false">
      <c r="A510" s="12"/>
      <c r="B510" s="12"/>
      <c r="C510" s="12"/>
      <c r="D510" s="12"/>
      <c r="E510" s="12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customFormat="false" ht="15.75" hidden="false" customHeight="true" outlineLevel="0" collapsed="false">
      <c r="A511" s="12"/>
      <c r="B511" s="12"/>
      <c r="C511" s="12"/>
      <c r="D511" s="12"/>
      <c r="E511" s="12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customFormat="false" ht="15.75" hidden="false" customHeight="true" outlineLevel="0" collapsed="false">
      <c r="A512" s="12"/>
      <c r="B512" s="12"/>
      <c r="C512" s="12"/>
      <c r="D512" s="12"/>
      <c r="E512" s="12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customFormat="false" ht="15.75" hidden="false" customHeight="true" outlineLevel="0" collapsed="false">
      <c r="A513" s="12"/>
      <c r="B513" s="12"/>
      <c r="C513" s="12"/>
      <c r="D513" s="12"/>
      <c r="E513" s="12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customFormat="false" ht="15.75" hidden="false" customHeight="true" outlineLevel="0" collapsed="false">
      <c r="A514" s="12"/>
      <c r="B514" s="12"/>
      <c r="C514" s="12"/>
      <c r="D514" s="12"/>
      <c r="E514" s="12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customFormat="false" ht="15.75" hidden="false" customHeight="true" outlineLevel="0" collapsed="false">
      <c r="A515" s="12"/>
      <c r="B515" s="12"/>
      <c r="C515" s="12"/>
      <c r="D515" s="12"/>
      <c r="E515" s="12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customFormat="false" ht="15.75" hidden="false" customHeight="true" outlineLevel="0" collapsed="false">
      <c r="A516" s="12"/>
      <c r="B516" s="12"/>
      <c r="C516" s="12"/>
      <c r="D516" s="12"/>
      <c r="E516" s="12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customFormat="false" ht="15.75" hidden="false" customHeight="true" outlineLevel="0" collapsed="false">
      <c r="A517" s="12"/>
      <c r="B517" s="12"/>
      <c r="C517" s="12"/>
      <c r="D517" s="12"/>
      <c r="E517" s="12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customFormat="false" ht="15.75" hidden="false" customHeight="true" outlineLevel="0" collapsed="false">
      <c r="A518" s="12"/>
      <c r="B518" s="12"/>
      <c r="C518" s="12"/>
      <c r="D518" s="12"/>
      <c r="E518" s="12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customFormat="false" ht="15.75" hidden="false" customHeight="true" outlineLevel="0" collapsed="false">
      <c r="A519" s="12"/>
      <c r="B519" s="12"/>
      <c r="C519" s="12"/>
      <c r="D519" s="12"/>
      <c r="E519" s="12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customFormat="false" ht="15.75" hidden="false" customHeight="true" outlineLevel="0" collapsed="false">
      <c r="A520" s="12"/>
      <c r="B520" s="12"/>
      <c r="C520" s="12"/>
      <c r="D520" s="12"/>
      <c r="E520" s="12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customFormat="false" ht="15.75" hidden="false" customHeight="true" outlineLevel="0" collapsed="false">
      <c r="A521" s="12"/>
      <c r="B521" s="12"/>
      <c r="C521" s="12"/>
      <c r="D521" s="12"/>
      <c r="E521" s="12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customFormat="false" ht="15.75" hidden="false" customHeight="true" outlineLevel="0" collapsed="false">
      <c r="A522" s="12"/>
      <c r="B522" s="12"/>
      <c r="C522" s="12"/>
      <c r="D522" s="12"/>
      <c r="E522" s="12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customFormat="false" ht="15.75" hidden="false" customHeight="true" outlineLevel="0" collapsed="false">
      <c r="A523" s="12"/>
      <c r="B523" s="12"/>
      <c r="C523" s="12"/>
      <c r="D523" s="12"/>
      <c r="E523" s="12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customFormat="false" ht="15.75" hidden="false" customHeight="true" outlineLevel="0" collapsed="false">
      <c r="A524" s="12"/>
      <c r="B524" s="12"/>
      <c r="C524" s="12"/>
      <c r="D524" s="12"/>
      <c r="E524" s="12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customFormat="false" ht="15.75" hidden="false" customHeight="true" outlineLevel="0" collapsed="false">
      <c r="A525" s="12"/>
      <c r="B525" s="12"/>
      <c r="C525" s="12"/>
      <c r="D525" s="12"/>
      <c r="E525" s="12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customFormat="false" ht="15.75" hidden="false" customHeight="true" outlineLevel="0" collapsed="false">
      <c r="A526" s="12"/>
      <c r="B526" s="12"/>
      <c r="C526" s="12"/>
      <c r="D526" s="12"/>
      <c r="E526" s="12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customFormat="false" ht="15.75" hidden="false" customHeight="true" outlineLevel="0" collapsed="false">
      <c r="A527" s="12"/>
      <c r="B527" s="12"/>
      <c r="C527" s="12"/>
      <c r="D527" s="12"/>
      <c r="E527" s="12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customFormat="false" ht="15.75" hidden="false" customHeight="true" outlineLevel="0" collapsed="false">
      <c r="A528" s="12"/>
      <c r="B528" s="12"/>
      <c r="C528" s="12"/>
      <c r="D528" s="12"/>
      <c r="E528" s="12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customFormat="false" ht="15.75" hidden="false" customHeight="true" outlineLevel="0" collapsed="false">
      <c r="A529" s="12"/>
      <c r="B529" s="12"/>
      <c r="C529" s="12"/>
      <c r="D529" s="12"/>
      <c r="E529" s="12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customFormat="false" ht="15.75" hidden="false" customHeight="true" outlineLevel="0" collapsed="false">
      <c r="A530" s="12"/>
      <c r="B530" s="12"/>
      <c r="C530" s="12"/>
      <c r="D530" s="12"/>
      <c r="E530" s="12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customFormat="false" ht="15.75" hidden="false" customHeight="true" outlineLevel="0" collapsed="false">
      <c r="A531" s="12"/>
      <c r="B531" s="12"/>
      <c r="C531" s="12"/>
      <c r="D531" s="12"/>
      <c r="E531" s="12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customFormat="false" ht="15.75" hidden="false" customHeight="true" outlineLevel="0" collapsed="false">
      <c r="A532" s="12"/>
      <c r="B532" s="12"/>
      <c r="C532" s="12"/>
      <c r="D532" s="12"/>
      <c r="E532" s="12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customFormat="false" ht="15.75" hidden="false" customHeight="true" outlineLevel="0" collapsed="false">
      <c r="A533" s="12"/>
      <c r="B533" s="12"/>
      <c r="C533" s="12"/>
      <c r="D533" s="12"/>
      <c r="E533" s="12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customFormat="false" ht="15.75" hidden="false" customHeight="true" outlineLevel="0" collapsed="false">
      <c r="A534" s="12"/>
      <c r="B534" s="12"/>
      <c r="C534" s="12"/>
      <c r="D534" s="12"/>
      <c r="E534" s="12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customFormat="false" ht="15.75" hidden="false" customHeight="true" outlineLevel="0" collapsed="false">
      <c r="A535" s="12"/>
      <c r="B535" s="12"/>
      <c r="C535" s="12"/>
      <c r="D535" s="12"/>
      <c r="E535" s="12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customFormat="false" ht="15.75" hidden="false" customHeight="true" outlineLevel="0" collapsed="false">
      <c r="A536" s="12"/>
      <c r="B536" s="12"/>
      <c r="C536" s="12"/>
      <c r="D536" s="12"/>
      <c r="E536" s="12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customFormat="false" ht="15.75" hidden="false" customHeight="true" outlineLevel="0" collapsed="false">
      <c r="A537" s="12"/>
      <c r="B537" s="12"/>
      <c r="C537" s="12"/>
      <c r="D537" s="12"/>
      <c r="E537" s="12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customFormat="false" ht="15.75" hidden="false" customHeight="true" outlineLevel="0" collapsed="false">
      <c r="A538" s="12"/>
      <c r="B538" s="12"/>
      <c r="C538" s="12"/>
      <c r="D538" s="12"/>
      <c r="E538" s="12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customFormat="false" ht="15.75" hidden="false" customHeight="true" outlineLevel="0" collapsed="false">
      <c r="A539" s="12"/>
      <c r="B539" s="12"/>
      <c r="C539" s="12"/>
      <c r="D539" s="12"/>
      <c r="E539" s="12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customFormat="false" ht="15.75" hidden="false" customHeight="true" outlineLevel="0" collapsed="false">
      <c r="A540" s="12"/>
      <c r="B540" s="12"/>
      <c r="C540" s="12"/>
      <c r="D540" s="12"/>
      <c r="E540" s="12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customFormat="false" ht="15.75" hidden="false" customHeight="true" outlineLevel="0" collapsed="false">
      <c r="A541" s="12"/>
      <c r="B541" s="12"/>
      <c r="C541" s="12"/>
      <c r="D541" s="12"/>
      <c r="E541" s="12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customFormat="false" ht="15.75" hidden="false" customHeight="true" outlineLevel="0" collapsed="false">
      <c r="A542" s="12"/>
      <c r="B542" s="12"/>
      <c r="C542" s="12"/>
      <c r="D542" s="12"/>
      <c r="E542" s="12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customFormat="false" ht="15.75" hidden="false" customHeight="true" outlineLevel="0" collapsed="false">
      <c r="A543" s="12"/>
      <c r="B543" s="12"/>
      <c r="C543" s="12"/>
      <c r="D543" s="12"/>
      <c r="E543" s="12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customFormat="false" ht="15.75" hidden="false" customHeight="true" outlineLevel="0" collapsed="false">
      <c r="A544" s="12"/>
      <c r="B544" s="12"/>
      <c r="C544" s="12"/>
      <c r="D544" s="12"/>
      <c r="E544" s="12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customFormat="false" ht="15.75" hidden="false" customHeight="true" outlineLevel="0" collapsed="false">
      <c r="A545" s="12"/>
      <c r="B545" s="12"/>
      <c r="C545" s="12"/>
      <c r="D545" s="12"/>
      <c r="E545" s="12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customFormat="false" ht="15.75" hidden="false" customHeight="true" outlineLevel="0" collapsed="false">
      <c r="A546" s="12"/>
      <c r="B546" s="12"/>
      <c r="C546" s="12"/>
      <c r="D546" s="12"/>
      <c r="E546" s="12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customFormat="false" ht="15.75" hidden="false" customHeight="true" outlineLevel="0" collapsed="false">
      <c r="A547" s="12"/>
      <c r="B547" s="12"/>
      <c r="C547" s="12"/>
      <c r="D547" s="12"/>
      <c r="E547" s="12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customFormat="false" ht="15.75" hidden="false" customHeight="true" outlineLevel="0" collapsed="false">
      <c r="A548" s="12"/>
      <c r="B548" s="12"/>
      <c r="C548" s="12"/>
      <c r="D548" s="12"/>
      <c r="E548" s="12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customFormat="false" ht="15.75" hidden="false" customHeight="true" outlineLevel="0" collapsed="false">
      <c r="A549" s="12"/>
      <c r="B549" s="12"/>
      <c r="C549" s="12"/>
      <c r="D549" s="12"/>
      <c r="E549" s="12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customFormat="false" ht="15.75" hidden="false" customHeight="true" outlineLevel="0" collapsed="false">
      <c r="A550" s="12"/>
      <c r="B550" s="12"/>
      <c r="C550" s="12"/>
      <c r="D550" s="12"/>
      <c r="E550" s="12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customFormat="false" ht="15.75" hidden="false" customHeight="true" outlineLevel="0" collapsed="false">
      <c r="A551" s="12"/>
      <c r="B551" s="12"/>
      <c r="C551" s="12"/>
      <c r="D551" s="12"/>
      <c r="E551" s="12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customFormat="false" ht="15.75" hidden="false" customHeight="true" outlineLevel="0" collapsed="false">
      <c r="A552" s="12"/>
      <c r="B552" s="12"/>
      <c r="C552" s="12"/>
      <c r="D552" s="12"/>
      <c r="E552" s="12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customFormat="false" ht="15.75" hidden="false" customHeight="true" outlineLevel="0" collapsed="false">
      <c r="A553" s="12"/>
      <c r="B553" s="12"/>
      <c r="C553" s="12"/>
      <c r="D553" s="12"/>
      <c r="E553" s="12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customFormat="false" ht="15.75" hidden="false" customHeight="true" outlineLevel="0" collapsed="false">
      <c r="A554" s="12"/>
      <c r="B554" s="12"/>
      <c r="C554" s="12"/>
      <c r="D554" s="12"/>
      <c r="E554" s="12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customFormat="false" ht="15.75" hidden="false" customHeight="true" outlineLevel="0" collapsed="false">
      <c r="A555" s="12"/>
      <c r="B555" s="12"/>
      <c r="C555" s="12"/>
      <c r="D555" s="12"/>
      <c r="E555" s="12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customFormat="false" ht="15.75" hidden="false" customHeight="true" outlineLevel="0" collapsed="false">
      <c r="A556" s="12"/>
      <c r="B556" s="12"/>
      <c r="C556" s="12"/>
      <c r="D556" s="12"/>
      <c r="E556" s="12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customFormat="false" ht="15.75" hidden="false" customHeight="true" outlineLevel="0" collapsed="false">
      <c r="A557" s="12"/>
      <c r="B557" s="12"/>
      <c r="C557" s="12"/>
      <c r="D557" s="12"/>
      <c r="E557" s="12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customFormat="false" ht="15.75" hidden="false" customHeight="true" outlineLevel="0" collapsed="false">
      <c r="A558" s="12"/>
      <c r="B558" s="12"/>
      <c r="C558" s="12"/>
      <c r="D558" s="12"/>
      <c r="E558" s="12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customFormat="false" ht="15.75" hidden="false" customHeight="true" outlineLevel="0" collapsed="false">
      <c r="A559" s="12"/>
      <c r="B559" s="12"/>
      <c r="C559" s="12"/>
      <c r="D559" s="12"/>
      <c r="E559" s="12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customFormat="false" ht="15.75" hidden="false" customHeight="true" outlineLevel="0" collapsed="false">
      <c r="A560" s="12"/>
      <c r="B560" s="12"/>
      <c r="C560" s="12"/>
      <c r="D560" s="12"/>
      <c r="E560" s="12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customFormat="false" ht="15.75" hidden="false" customHeight="true" outlineLevel="0" collapsed="false">
      <c r="A561" s="12"/>
      <c r="B561" s="12"/>
      <c r="C561" s="12"/>
      <c r="D561" s="12"/>
      <c r="E561" s="12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customFormat="false" ht="15.75" hidden="false" customHeight="true" outlineLevel="0" collapsed="false">
      <c r="A562" s="12"/>
      <c r="B562" s="12"/>
      <c r="C562" s="12"/>
      <c r="D562" s="12"/>
      <c r="E562" s="12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customFormat="false" ht="15.75" hidden="false" customHeight="true" outlineLevel="0" collapsed="false">
      <c r="A563" s="12"/>
      <c r="B563" s="12"/>
      <c r="C563" s="12"/>
      <c r="D563" s="12"/>
      <c r="E563" s="12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customFormat="false" ht="15.75" hidden="false" customHeight="true" outlineLevel="0" collapsed="false">
      <c r="A564" s="12"/>
      <c r="B564" s="12"/>
      <c r="C564" s="12"/>
      <c r="D564" s="12"/>
      <c r="E564" s="12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customFormat="false" ht="15.75" hidden="false" customHeight="true" outlineLevel="0" collapsed="false">
      <c r="A565" s="12"/>
      <c r="B565" s="12"/>
      <c r="C565" s="12"/>
      <c r="D565" s="12"/>
      <c r="E565" s="12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customFormat="false" ht="15.75" hidden="false" customHeight="true" outlineLevel="0" collapsed="false">
      <c r="A566" s="12"/>
      <c r="B566" s="12"/>
      <c r="C566" s="12"/>
      <c r="D566" s="12"/>
      <c r="E566" s="12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customFormat="false" ht="15.75" hidden="false" customHeight="true" outlineLevel="0" collapsed="false">
      <c r="A567" s="12"/>
      <c r="B567" s="12"/>
      <c r="C567" s="12"/>
      <c r="D567" s="12"/>
      <c r="E567" s="12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customFormat="false" ht="15.75" hidden="false" customHeight="true" outlineLevel="0" collapsed="false">
      <c r="A568" s="12"/>
      <c r="B568" s="12"/>
      <c r="C568" s="12"/>
      <c r="D568" s="12"/>
      <c r="E568" s="12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customFormat="false" ht="15.75" hidden="false" customHeight="true" outlineLevel="0" collapsed="false">
      <c r="A569" s="12"/>
      <c r="B569" s="12"/>
      <c r="C569" s="12"/>
      <c r="D569" s="12"/>
      <c r="E569" s="12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customFormat="false" ht="15.75" hidden="false" customHeight="true" outlineLevel="0" collapsed="false">
      <c r="A570" s="12"/>
      <c r="B570" s="12"/>
      <c r="C570" s="12"/>
      <c r="D570" s="12"/>
      <c r="E570" s="12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customFormat="false" ht="15.75" hidden="false" customHeight="true" outlineLevel="0" collapsed="false">
      <c r="A571" s="12"/>
      <c r="B571" s="12"/>
      <c r="C571" s="12"/>
      <c r="D571" s="12"/>
      <c r="E571" s="12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customFormat="false" ht="15.75" hidden="false" customHeight="true" outlineLevel="0" collapsed="false">
      <c r="A572" s="12"/>
      <c r="B572" s="12"/>
      <c r="C572" s="12"/>
      <c r="D572" s="12"/>
      <c r="E572" s="12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customFormat="false" ht="15.75" hidden="false" customHeight="true" outlineLevel="0" collapsed="false">
      <c r="A573" s="12"/>
      <c r="B573" s="12"/>
      <c r="C573" s="12"/>
      <c r="D573" s="12"/>
      <c r="E573" s="12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customFormat="false" ht="15.75" hidden="false" customHeight="true" outlineLevel="0" collapsed="false">
      <c r="A574" s="12"/>
      <c r="B574" s="12"/>
      <c r="C574" s="12"/>
      <c r="D574" s="12"/>
      <c r="E574" s="12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customFormat="false" ht="15.75" hidden="false" customHeight="true" outlineLevel="0" collapsed="false">
      <c r="A575" s="12"/>
      <c r="B575" s="12"/>
      <c r="C575" s="12"/>
      <c r="D575" s="12"/>
      <c r="E575" s="12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customFormat="false" ht="15.75" hidden="false" customHeight="true" outlineLevel="0" collapsed="false">
      <c r="A576" s="12"/>
      <c r="B576" s="12"/>
      <c r="C576" s="12"/>
      <c r="D576" s="12"/>
      <c r="E576" s="12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customFormat="false" ht="15.75" hidden="false" customHeight="true" outlineLevel="0" collapsed="false">
      <c r="A577" s="12"/>
      <c r="B577" s="12"/>
      <c r="C577" s="12"/>
      <c r="D577" s="12"/>
      <c r="E577" s="12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customFormat="false" ht="15.75" hidden="false" customHeight="true" outlineLevel="0" collapsed="false">
      <c r="A578" s="12"/>
      <c r="B578" s="12"/>
      <c r="C578" s="12"/>
      <c r="D578" s="12"/>
      <c r="E578" s="12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customFormat="false" ht="15.75" hidden="false" customHeight="true" outlineLevel="0" collapsed="false">
      <c r="A579" s="12"/>
      <c r="B579" s="12"/>
      <c r="C579" s="12"/>
      <c r="D579" s="12"/>
      <c r="E579" s="12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customFormat="false" ht="15.75" hidden="false" customHeight="true" outlineLevel="0" collapsed="false">
      <c r="A580" s="12"/>
      <c r="B580" s="12"/>
      <c r="C580" s="12"/>
      <c r="D580" s="12"/>
      <c r="E580" s="12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customFormat="false" ht="15.75" hidden="false" customHeight="true" outlineLevel="0" collapsed="false">
      <c r="A581" s="12"/>
      <c r="B581" s="12"/>
      <c r="C581" s="12"/>
      <c r="D581" s="12"/>
      <c r="E581" s="12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customFormat="false" ht="15.75" hidden="false" customHeight="true" outlineLevel="0" collapsed="false">
      <c r="A582" s="12"/>
      <c r="B582" s="12"/>
      <c r="C582" s="12"/>
      <c r="D582" s="12"/>
      <c r="E582" s="12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customFormat="false" ht="15.75" hidden="false" customHeight="true" outlineLevel="0" collapsed="false">
      <c r="A583" s="12"/>
      <c r="B583" s="12"/>
      <c r="C583" s="12"/>
      <c r="D583" s="12"/>
      <c r="E583" s="12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customFormat="false" ht="15.75" hidden="false" customHeight="true" outlineLevel="0" collapsed="false">
      <c r="A584" s="12"/>
      <c r="B584" s="12"/>
      <c r="C584" s="12"/>
      <c r="D584" s="12"/>
      <c r="E584" s="12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customFormat="false" ht="15.75" hidden="false" customHeight="true" outlineLevel="0" collapsed="false">
      <c r="A585" s="12"/>
      <c r="B585" s="12"/>
      <c r="C585" s="12"/>
      <c r="D585" s="12"/>
      <c r="E585" s="12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customFormat="false" ht="15.75" hidden="false" customHeight="true" outlineLevel="0" collapsed="false">
      <c r="A586" s="12"/>
      <c r="B586" s="12"/>
      <c r="C586" s="12"/>
      <c r="D586" s="12"/>
      <c r="E586" s="12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customFormat="false" ht="15.75" hidden="false" customHeight="true" outlineLevel="0" collapsed="false">
      <c r="A587" s="12"/>
      <c r="B587" s="12"/>
      <c r="C587" s="12"/>
      <c r="D587" s="12"/>
      <c r="E587" s="12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customFormat="false" ht="15.75" hidden="false" customHeight="true" outlineLevel="0" collapsed="false">
      <c r="A588" s="12"/>
      <c r="B588" s="12"/>
      <c r="C588" s="12"/>
      <c r="D588" s="12"/>
      <c r="E588" s="12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customFormat="false" ht="15.75" hidden="false" customHeight="true" outlineLevel="0" collapsed="false">
      <c r="A589" s="12"/>
      <c r="B589" s="12"/>
      <c r="C589" s="12"/>
      <c r="D589" s="12"/>
      <c r="E589" s="12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customFormat="false" ht="15.75" hidden="false" customHeight="true" outlineLevel="0" collapsed="false">
      <c r="A590" s="12"/>
      <c r="B590" s="12"/>
      <c r="C590" s="12"/>
      <c r="D590" s="12"/>
      <c r="E590" s="12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customFormat="false" ht="15.75" hidden="false" customHeight="true" outlineLevel="0" collapsed="false">
      <c r="A591" s="12"/>
      <c r="B591" s="12"/>
      <c r="C591" s="12"/>
      <c r="D591" s="12"/>
      <c r="E591" s="12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customFormat="false" ht="15.75" hidden="false" customHeight="true" outlineLevel="0" collapsed="false">
      <c r="A592" s="12"/>
      <c r="B592" s="12"/>
      <c r="C592" s="12"/>
      <c r="D592" s="12"/>
      <c r="E592" s="12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customFormat="false" ht="15.75" hidden="false" customHeight="true" outlineLevel="0" collapsed="false">
      <c r="A593" s="12"/>
      <c r="B593" s="12"/>
      <c r="C593" s="12"/>
      <c r="D593" s="12"/>
      <c r="E593" s="12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customFormat="false" ht="15.75" hidden="false" customHeight="true" outlineLevel="0" collapsed="false">
      <c r="A594" s="12"/>
      <c r="B594" s="12"/>
      <c r="C594" s="12"/>
      <c r="D594" s="12"/>
      <c r="E594" s="12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customFormat="false" ht="15.75" hidden="false" customHeight="true" outlineLevel="0" collapsed="false">
      <c r="A595" s="12"/>
      <c r="B595" s="12"/>
      <c r="C595" s="12"/>
      <c r="D595" s="12"/>
      <c r="E595" s="12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customFormat="false" ht="15.75" hidden="false" customHeight="true" outlineLevel="0" collapsed="false">
      <c r="A596" s="12"/>
      <c r="B596" s="12"/>
      <c r="C596" s="12"/>
      <c r="D596" s="12"/>
      <c r="E596" s="12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customFormat="false" ht="15.75" hidden="false" customHeight="true" outlineLevel="0" collapsed="false">
      <c r="A597" s="12"/>
      <c r="B597" s="12"/>
      <c r="C597" s="12"/>
      <c r="D597" s="12"/>
      <c r="E597" s="12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customFormat="false" ht="15.75" hidden="false" customHeight="true" outlineLevel="0" collapsed="false">
      <c r="A598" s="12"/>
      <c r="B598" s="12"/>
      <c r="C598" s="12"/>
      <c r="D598" s="12"/>
      <c r="E598" s="12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customFormat="false" ht="15.75" hidden="false" customHeight="true" outlineLevel="0" collapsed="false">
      <c r="A599" s="12"/>
      <c r="B599" s="12"/>
      <c r="C599" s="12"/>
      <c r="D599" s="12"/>
      <c r="E599" s="12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customFormat="false" ht="15.75" hidden="false" customHeight="true" outlineLevel="0" collapsed="false">
      <c r="A600" s="12"/>
      <c r="B600" s="12"/>
      <c r="C600" s="12"/>
      <c r="D600" s="12"/>
      <c r="E600" s="12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customFormat="false" ht="15.75" hidden="false" customHeight="true" outlineLevel="0" collapsed="false">
      <c r="A601" s="12"/>
      <c r="B601" s="12"/>
      <c r="C601" s="12"/>
      <c r="D601" s="12"/>
      <c r="E601" s="12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customFormat="false" ht="15.75" hidden="false" customHeight="true" outlineLevel="0" collapsed="false">
      <c r="A602" s="12"/>
      <c r="B602" s="12"/>
      <c r="C602" s="12"/>
      <c r="D602" s="12"/>
      <c r="E602" s="12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customFormat="false" ht="15.75" hidden="false" customHeight="true" outlineLevel="0" collapsed="false">
      <c r="A603" s="12"/>
      <c r="B603" s="12"/>
      <c r="C603" s="12"/>
      <c r="D603" s="12"/>
      <c r="E603" s="12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customFormat="false" ht="15.75" hidden="false" customHeight="true" outlineLevel="0" collapsed="false">
      <c r="A604" s="12"/>
      <c r="B604" s="12"/>
      <c r="C604" s="12"/>
      <c r="D604" s="12"/>
      <c r="E604" s="12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customFormat="false" ht="15.75" hidden="false" customHeight="true" outlineLevel="0" collapsed="false">
      <c r="A605" s="12"/>
      <c r="B605" s="12"/>
      <c r="C605" s="12"/>
      <c r="D605" s="12"/>
      <c r="E605" s="12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customFormat="false" ht="15.75" hidden="false" customHeight="true" outlineLevel="0" collapsed="false">
      <c r="A606" s="12"/>
      <c r="B606" s="12"/>
      <c r="C606" s="12"/>
      <c r="D606" s="12"/>
      <c r="E606" s="12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customFormat="false" ht="15.75" hidden="false" customHeight="true" outlineLevel="0" collapsed="false">
      <c r="A607" s="12"/>
      <c r="B607" s="12"/>
      <c r="C607" s="12"/>
      <c r="D607" s="12"/>
      <c r="E607" s="12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customFormat="false" ht="15.75" hidden="false" customHeight="true" outlineLevel="0" collapsed="false">
      <c r="A608" s="12"/>
      <c r="B608" s="12"/>
      <c r="C608" s="12"/>
      <c r="D608" s="12"/>
      <c r="E608" s="12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customFormat="false" ht="15.75" hidden="false" customHeight="true" outlineLevel="0" collapsed="false">
      <c r="A609" s="12"/>
      <c r="B609" s="12"/>
      <c r="C609" s="12"/>
      <c r="D609" s="12"/>
      <c r="E609" s="12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customFormat="false" ht="15.75" hidden="false" customHeight="true" outlineLevel="0" collapsed="false">
      <c r="A610" s="12"/>
      <c r="B610" s="12"/>
      <c r="C610" s="12"/>
      <c r="D610" s="12"/>
      <c r="E610" s="12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customFormat="false" ht="15.75" hidden="false" customHeight="true" outlineLevel="0" collapsed="false">
      <c r="A611" s="12"/>
      <c r="B611" s="12"/>
      <c r="C611" s="12"/>
      <c r="D611" s="12"/>
      <c r="E611" s="12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customFormat="false" ht="15.75" hidden="false" customHeight="true" outlineLevel="0" collapsed="false">
      <c r="A612" s="12"/>
      <c r="B612" s="12"/>
      <c r="C612" s="12"/>
      <c r="D612" s="12"/>
      <c r="E612" s="12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customFormat="false" ht="15.75" hidden="false" customHeight="true" outlineLevel="0" collapsed="false">
      <c r="A613" s="12"/>
      <c r="B613" s="12"/>
      <c r="C613" s="12"/>
      <c r="D613" s="12"/>
      <c r="E613" s="12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customFormat="false" ht="15.75" hidden="false" customHeight="true" outlineLevel="0" collapsed="false">
      <c r="A614" s="12"/>
      <c r="B614" s="12"/>
      <c r="C614" s="12"/>
      <c r="D614" s="12"/>
      <c r="E614" s="12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customFormat="false" ht="15.75" hidden="false" customHeight="true" outlineLevel="0" collapsed="false">
      <c r="A615" s="12"/>
      <c r="B615" s="12"/>
      <c r="C615" s="12"/>
      <c r="D615" s="12"/>
      <c r="E615" s="12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customFormat="false" ht="15.75" hidden="false" customHeight="true" outlineLevel="0" collapsed="false">
      <c r="A616" s="12"/>
      <c r="B616" s="12"/>
      <c r="C616" s="12"/>
      <c r="D616" s="12"/>
      <c r="E616" s="12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customFormat="false" ht="15.75" hidden="false" customHeight="true" outlineLevel="0" collapsed="false">
      <c r="A617" s="12"/>
      <c r="B617" s="12"/>
      <c r="C617" s="12"/>
      <c r="D617" s="12"/>
      <c r="E617" s="12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customFormat="false" ht="15.75" hidden="false" customHeight="true" outlineLevel="0" collapsed="false">
      <c r="A618" s="12"/>
      <c r="B618" s="12"/>
      <c r="C618" s="12"/>
      <c r="D618" s="12"/>
      <c r="E618" s="12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customFormat="false" ht="15.75" hidden="false" customHeight="true" outlineLevel="0" collapsed="false">
      <c r="A619" s="12"/>
      <c r="B619" s="12"/>
      <c r="C619" s="12"/>
      <c r="D619" s="12"/>
      <c r="E619" s="12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customFormat="false" ht="15.75" hidden="false" customHeight="true" outlineLevel="0" collapsed="false">
      <c r="A620" s="12"/>
      <c r="B620" s="12"/>
      <c r="C620" s="12"/>
      <c r="D620" s="12"/>
      <c r="E620" s="12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customFormat="false" ht="15.75" hidden="false" customHeight="true" outlineLevel="0" collapsed="false">
      <c r="A621" s="12"/>
      <c r="B621" s="12"/>
      <c r="C621" s="12"/>
      <c r="D621" s="12"/>
      <c r="E621" s="12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customFormat="false" ht="15.75" hidden="false" customHeight="true" outlineLevel="0" collapsed="false">
      <c r="A622" s="12"/>
      <c r="B622" s="12"/>
      <c r="C622" s="12"/>
      <c r="D622" s="12"/>
      <c r="E622" s="12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customFormat="false" ht="15.75" hidden="false" customHeight="true" outlineLevel="0" collapsed="false">
      <c r="A623" s="12"/>
      <c r="B623" s="12"/>
      <c r="C623" s="12"/>
      <c r="D623" s="12"/>
      <c r="E623" s="12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customFormat="false" ht="15.75" hidden="false" customHeight="true" outlineLevel="0" collapsed="false">
      <c r="A624" s="12"/>
      <c r="B624" s="12"/>
      <c r="C624" s="12"/>
      <c r="D624" s="12"/>
      <c r="E624" s="12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customFormat="false" ht="15.75" hidden="false" customHeight="true" outlineLevel="0" collapsed="false">
      <c r="A625" s="12"/>
      <c r="B625" s="12"/>
      <c r="C625" s="12"/>
      <c r="D625" s="12"/>
      <c r="E625" s="12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customFormat="false" ht="15.75" hidden="false" customHeight="true" outlineLevel="0" collapsed="false">
      <c r="A626" s="12"/>
      <c r="B626" s="12"/>
      <c r="C626" s="12"/>
      <c r="D626" s="12"/>
      <c r="E626" s="12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customFormat="false" ht="15.75" hidden="false" customHeight="true" outlineLevel="0" collapsed="false">
      <c r="A627" s="12"/>
      <c r="B627" s="12"/>
      <c r="C627" s="12"/>
      <c r="D627" s="12"/>
      <c r="E627" s="12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customFormat="false" ht="15.75" hidden="false" customHeight="true" outlineLevel="0" collapsed="false">
      <c r="A628" s="12"/>
      <c r="B628" s="12"/>
      <c r="C628" s="12"/>
      <c r="D628" s="12"/>
      <c r="E628" s="12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customFormat="false" ht="15.75" hidden="false" customHeight="true" outlineLevel="0" collapsed="false">
      <c r="A629" s="12"/>
      <c r="B629" s="12"/>
      <c r="C629" s="12"/>
      <c r="D629" s="12"/>
      <c r="E629" s="12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customFormat="false" ht="15.75" hidden="false" customHeight="true" outlineLevel="0" collapsed="false">
      <c r="A630" s="12"/>
      <c r="B630" s="12"/>
      <c r="C630" s="12"/>
      <c r="D630" s="12"/>
      <c r="E630" s="12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customFormat="false" ht="15.75" hidden="false" customHeight="true" outlineLevel="0" collapsed="false">
      <c r="A631" s="12"/>
      <c r="B631" s="12"/>
      <c r="C631" s="12"/>
      <c r="D631" s="12"/>
      <c r="E631" s="12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customFormat="false" ht="15.75" hidden="false" customHeight="true" outlineLevel="0" collapsed="false">
      <c r="A632" s="12"/>
      <c r="B632" s="12"/>
      <c r="C632" s="12"/>
      <c r="D632" s="12"/>
      <c r="E632" s="12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customFormat="false" ht="15.75" hidden="false" customHeight="true" outlineLevel="0" collapsed="false">
      <c r="A633" s="12"/>
      <c r="B633" s="12"/>
      <c r="C633" s="12"/>
      <c r="D633" s="12"/>
      <c r="E633" s="12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customFormat="false" ht="15.75" hidden="false" customHeight="true" outlineLevel="0" collapsed="false">
      <c r="A634" s="12"/>
      <c r="B634" s="12"/>
      <c r="C634" s="12"/>
      <c r="D634" s="12"/>
      <c r="E634" s="12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customFormat="false" ht="15.75" hidden="false" customHeight="true" outlineLevel="0" collapsed="false">
      <c r="A635" s="12"/>
      <c r="B635" s="12"/>
      <c r="C635" s="12"/>
      <c r="D635" s="12"/>
      <c r="E635" s="12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customFormat="false" ht="15.75" hidden="false" customHeight="true" outlineLevel="0" collapsed="false">
      <c r="A636" s="12"/>
      <c r="B636" s="12"/>
      <c r="C636" s="12"/>
      <c r="D636" s="12"/>
      <c r="E636" s="12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customFormat="false" ht="15.75" hidden="false" customHeight="true" outlineLevel="0" collapsed="false">
      <c r="A637" s="12"/>
      <c r="B637" s="12"/>
      <c r="C637" s="12"/>
      <c r="D637" s="12"/>
      <c r="E637" s="12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customFormat="false" ht="15.75" hidden="false" customHeight="true" outlineLevel="0" collapsed="false">
      <c r="A638" s="12"/>
      <c r="B638" s="12"/>
      <c r="C638" s="12"/>
      <c r="D638" s="12"/>
      <c r="E638" s="12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customFormat="false" ht="15.75" hidden="false" customHeight="true" outlineLevel="0" collapsed="false">
      <c r="A639" s="12"/>
      <c r="B639" s="12"/>
      <c r="C639" s="12"/>
      <c r="D639" s="12"/>
      <c r="E639" s="12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customFormat="false" ht="15.75" hidden="false" customHeight="true" outlineLevel="0" collapsed="false">
      <c r="A640" s="12"/>
      <c r="B640" s="12"/>
      <c r="C640" s="12"/>
      <c r="D640" s="12"/>
      <c r="E640" s="12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customFormat="false" ht="15.75" hidden="false" customHeight="true" outlineLevel="0" collapsed="false">
      <c r="A641" s="12"/>
      <c r="B641" s="12"/>
      <c r="C641" s="12"/>
      <c r="D641" s="12"/>
      <c r="E641" s="12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customFormat="false" ht="15.75" hidden="false" customHeight="true" outlineLevel="0" collapsed="false">
      <c r="A642" s="12"/>
      <c r="B642" s="12"/>
      <c r="C642" s="12"/>
      <c r="D642" s="12"/>
      <c r="E642" s="12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customFormat="false" ht="15.75" hidden="false" customHeight="true" outlineLevel="0" collapsed="false">
      <c r="A643" s="12"/>
      <c r="B643" s="12"/>
      <c r="C643" s="12"/>
      <c r="D643" s="12"/>
      <c r="E643" s="12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customFormat="false" ht="15.75" hidden="false" customHeight="true" outlineLevel="0" collapsed="false">
      <c r="A644" s="12"/>
      <c r="B644" s="12"/>
      <c r="C644" s="12"/>
      <c r="D644" s="12"/>
      <c r="E644" s="12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customFormat="false" ht="15.75" hidden="false" customHeight="true" outlineLevel="0" collapsed="false">
      <c r="A645" s="12"/>
      <c r="B645" s="12"/>
      <c r="C645" s="12"/>
      <c r="D645" s="12"/>
      <c r="E645" s="12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customFormat="false" ht="15.75" hidden="false" customHeight="true" outlineLevel="0" collapsed="false">
      <c r="A646" s="12"/>
      <c r="B646" s="12"/>
      <c r="C646" s="12"/>
      <c r="D646" s="12"/>
      <c r="E646" s="12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customFormat="false" ht="15.75" hidden="false" customHeight="true" outlineLevel="0" collapsed="false">
      <c r="A647" s="12"/>
      <c r="B647" s="12"/>
      <c r="C647" s="12"/>
      <c r="D647" s="12"/>
      <c r="E647" s="12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customFormat="false" ht="15.75" hidden="false" customHeight="true" outlineLevel="0" collapsed="false">
      <c r="A648" s="12"/>
      <c r="B648" s="12"/>
      <c r="C648" s="12"/>
      <c r="D648" s="12"/>
      <c r="E648" s="12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customFormat="false" ht="15.75" hidden="false" customHeight="true" outlineLevel="0" collapsed="false">
      <c r="A649" s="12"/>
      <c r="B649" s="12"/>
      <c r="C649" s="12"/>
      <c r="D649" s="12"/>
      <c r="E649" s="12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customFormat="false" ht="15.75" hidden="false" customHeight="true" outlineLevel="0" collapsed="false">
      <c r="A650" s="12"/>
      <c r="B650" s="12"/>
      <c r="C650" s="12"/>
      <c r="D650" s="12"/>
      <c r="E650" s="12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customFormat="false" ht="15.75" hidden="false" customHeight="true" outlineLevel="0" collapsed="false">
      <c r="A651" s="12"/>
      <c r="B651" s="12"/>
      <c r="C651" s="12"/>
      <c r="D651" s="12"/>
      <c r="E651" s="12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customFormat="false" ht="15.75" hidden="false" customHeight="true" outlineLevel="0" collapsed="false">
      <c r="A652" s="12"/>
      <c r="B652" s="12"/>
      <c r="C652" s="12"/>
      <c r="D652" s="12"/>
      <c r="E652" s="12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customFormat="false" ht="15.75" hidden="false" customHeight="true" outlineLevel="0" collapsed="false">
      <c r="A653" s="12"/>
      <c r="B653" s="12"/>
      <c r="C653" s="12"/>
      <c r="D653" s="12"/>
      <c r="E653" s="12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customFormat="false" ht="15.75" hidden="false" customHeight="true" outlineLevel="0" collapsed="false">
      <c r="A654" s="12"/>
      <c r="B654" s="12"/>
      <c r="C654" s="12"/>
      <c r="D654" s="12"/>
      <c r="E654" s="12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customFormat="false" ht="15.75" hidden="false" customHeight="true" outlineLevel="0" collapsed="false">
      <c r="A655" s="12"/>
      <c r="B655" s="12"/>
      <c r="C655" s="12"/>
      <c r="D655" s="12"/>
      <c r="E655" s="12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customFormat="false" ht="15.75" hidden="false" customHeight="true" outlineLevel="0" collapsed="false">
      <c r="A656" s="12"/>
      <c r="B656" s="12"/>
      <c r="C656" s="12"/>
      <c r="D656" s="12"/>
      <c r="E656" s="12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customFormat="false" ht="15.75" hidden="false" customHeight="true" outlineLevel="0" collapsed="false">
      <c r="A657" s="12"/>
      <c r="B657" s="12"/>
      <c r="C657" s="12"/>
      <c r="D657" s="12"/>
      <c r="E657" s="12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customFormat="false" ht="15.75" hidden="false" customHeight="true" outlineLevel="0" collapsed="false">
      <c r="A658" s="12"/>
      <c r="B658" s="12"/>
      <c r="C658" s="12"/>
      <c r="D658" s="12"/>
      <c r="E658" s="12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customFormat="false" ht="15.75" hidden="false" customHeight="true" outlineLevel="0" collapsed="false">
      <c r="A659" s="12"/>
      <c r="B659" s="12"/>
      <c r="C659" s="12"/>
      <c r="D659" s="12"/>
      <c r="E659" s="12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customFormat="false" ht="15.75" hidden="false" customHeight="true" outlineLevel="0" collapsed="false">
      <c r="A660" s="12"/>
      <c r="B660" s="12"/>
      <c r="C660" s="12"/>
      <c r="D660" s="12"/>
      <c r="E660" s="12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customFormat="false" ht="15.75" hidden="false" customHeight="true" outlineLevel="0" collapsed="false">
      <c r="A661" s="12"/>
      <c r="B661" s="12"/>
      <c r="C661" s="12"/>
      <c r="D661" s="12"/>
      <c r="E661" s="12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customFormat="false" ht="15.75" hidden="false" customHeight="true" outlineLevel="0" collapsed="false">
      <c r="A662" s="12"/>
      <c r="B662" s="12"/>
      <c r="C662" s="12"/>
      <c r="D662" s="12"/>
      <c r="E662" s="12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customFormat="false" ht="15.75" hidden="false" customHeight="true" outlineLevel="0" collapsed="false">
      <c r="A663" s="12"/>
      <c r="B663" s="12"/>
      <c r="C663" s="12"/>
      <c r="D663" s="12"/>
      <c r="E663" s="12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customFormat="false" ht="15.75" hidden="false" customHeight="true" outlineLevel="0" collapsed="false">
      <c r="A664" s="12"/>
      <c r="B664" s="12"/>
      <c r="C664" s="12"/>
      <c r="D664" s="12"/>
      <c r="E664" s="12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customFormat="false" ht="15.75" hidden="false" customHeight="true" outlineLevel="0" collapsed="false">
      <c r="A665" s="12"/>
      <c r="B665" s="12"/>
      <c r="C665" s="12"/>
      <c r="D665" s="12"/>
      <c r="E665" s="12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customFormat="false" ht="15.75" hidden="false" customHeight="true" outlineLevel="0" collapsed="false">
      <c r="A666" s="12"/>
      <c r="B666" s="12"/>
      <c r="C666" s="12"/>
      <c r="D666" s="12"/>
      <c r="E666" s="12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customFormat="false" ht="15.75" hidden="false" customHeight="true" outlineLevel="0" collapsed="false">
      <c r="A667" s="12"/>
      <c r="B667" s="12"/>
      <c r="C667" s="12"/>
      <c r="D667" s="12"/>
      <c r="E667" s="12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customFormat="false" ht="15.75" hidden="false" customHeight="true" outlineLevel="0" collapsed="false">
      <c r="A668" s="12"/>
      <c r="B668" s="12"/>
      <c r="C668" s="12"/>
      <c r="D668" s="12"/>
      <c r="E668" s="12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customFormat="false" ht="15.75" hidden="false" customHeight="true" outlineLevel="0" collapsed="false">
      <c r="A669" s="12"/>
      <c r="B669" s="12"/>
      <c r="C669" s="12"/>
      <c r="D669" s="12"/>
      <c r="E669" s="12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customFormat="false" ht="15.75" hidden="false" customHeight="true" outlineLevel="0" collapsed="false">
      <c r="A670" s="12"/>
      <c r="B670" s="12"/>
      <c r="C670" s="12"/>
      <c r="D670" s="12"/>
      <c r="E670" s="12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customFormat="false" ht="15.75" hidden="false" customHeight="true" outlineLevel="0" collapsed="false">
      <c r="A671" s="12"/>
      <c r="B671" s="12"/>
      <c r="C671" s="12"/>
      <c r="D671" s="12"/>
      <c r="E671" s="12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customFormat="false" ht="15.75" hidden="false" customHeight="true" outlineLevel="0" collapsed="false">
      <c r="A672" s="12"/>
      <c r="B672" s="12"/>
      <c r="C672" s="12"/>
      <c r="D672" s="12"/>
      <c r="E672" s="12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customFormat="false" ht="15.75" hidden="false" customHeight="true" outlineLevel="0" collapsed="false">
      <c r="A673" s="12"/>
      <c r="B673" s="12"/>
      <c r="C673" s="12"/>
      <c r="D673" s="12"/>
      <c r="E673" s="12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customFormat="false" ht="15.75" hidden="false" customHeight="true" outlineLevel="0" collapsed="false">
      <c r="A674" s="12"/>
      <c r="B674" s="12"/>
      <c r="C674" s="12"/>
      <c r="D674" s="12"/>
      <c r="E674" s="12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customFormat="false" ht="15.75" hidden="false" customHeight="true" outlineLevel="0" collapsed="false">
      <c r="A675" s="12"/>
      <c r="B675" s="12"/>
      <c r="C675" s="12"/>
      <c r="D675" s="12"/>
      <c r="E675" s="12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customFormat="false" ht="15.75" hidden="false" customHeight="true" outlineLevel="0" collapsed="false">
      <c r="A676" s="12"/>
      <c r="B676" s="12"/>
      <c r="C676" s="12"/>
      <c r="D676" s="12"/>
      <c r="E676" s="12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customFormat="false" ht="15.75" hidden="false" customHeight="true" outlineLevel="0" collapsed="false">
      <c r="A677" s="12"/>
      <c r="B677" s="12"/>
      <c r="C677" s="12"/>
      <c r="D677" s="12"/>
      <c r="E677" s="12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customFormat="false" ht="15.75" hidden="false" customHeight="true" outlineLevel="0" collapsed="false">
      <c r="A678" s="12"/>
      <c r="B678" s="12"/>
      <c r="C678" s="12"/>
      <c r="D678" s="12"/>
      <c r="E678" s="12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customFormat="false" ht="15.75" hidden="false" customHeight="true" outlineLevel="0" collapsed="false">
      <c r="A679" s="12"/>
      <c r="B679" s="12"/>
      <c r="C679" s="12"/>
      <c r="D679" s="12"/>
      <c r="E679" s="12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customFormat="false" ht="15.75" hidden="false" customHeight="true" outlineLevel="0" collapsed="false">
      <c r="A680" s="12"/>
      <c r="B680" s="12"/>
      <c r="C680" s="12"/>
      <c r="D680" s="12"/>
      <c r="E680" s="12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customFormat="false" ht="15.75" hidden="false" customHeight="true" outlineLevel="0" collapsed="false">
      <c r="A681" s="12"/>
      <c r="B681" s="12"/>
      <c r="C681" s="12"/>
      <c r="D681" s="12"/>
      <c r="E681" s="12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customFormat="false" ht="15.75" hidden="false" customHeight="true" outlineLevel="0" collapsed="false">
      <c r="A682" s="12"/>
      <c r="B682" s="12"/>
      <c r="C682" s="12"/>
      <c r="D682" s="12"/>
      <c r="E682" s="12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customFormat="false" ht="15.75" hidden="false" customHeight="true" outlineLevel="0" collapsed="false">
      <c r="A683" s="12"/>
      <c r="B683" s="12"/>
      <c r="C683" s="12"/>
      <c r="D683" s="12"/>
      <c r="E683" s="12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customFormat="false" ht="15.75" hidden="false" customHeight="true" outlineLevel="0" collapsed="false">
      <c r="A684" s="12"/>
      <c r="B684" s="12"/>
      <c r="C684" s="12"/>
      <c r="D684" s="12"/>
      <c r="E684" s="12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customFormat="false" ht="15.75" hidden="false" customHeight="true" outlineLevel="0" collapsed="false">
      <c r="A685" s="12"/>
      <c r="B685" s="12"/>
      <c r="C685" s="12"/>
      <c r="D685" s="12"/>
      <c r="E685" s="12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customFormat="false" ht="15.75" hidden="false" customHeight="true" outlineLevel="0" collapsed="false">
      <c r="A686" s="12"/>
      <c r="B686" s="12"/>
      <c r="C686" s="12"/>
      <c r="D686" s="12"/>
      <c r="E686" s="12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customFormat="false" ht="15.75" hidden="false" customHeight="true" outlineLevel="0" collapsed="false">
      <c r="A687" s="12"/>
      <c r="B687" s="12"/>
      <c r="C687" s="12"/>
      <c r="D687" s="12"/>
      <c r="E687" s="12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customFormat="false" ht="15.75" hidden="false" customHeight="true" outlineLevel="0" collapsed="false">
      <c r="A688" s="12"/>
      <c r="B688" s="12"/>
      <c r="C688" s="12"/>
      <c r="D688" s="12"/>
      <c r="E688" s="12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customFormat="false" ht="15.75" hidden="false" customHeight="true" outlineLevel="0" collapsed="false">
      <c r="A689" s="12"/>
      <c r="B689" s="12"/>
      <c r="C689" s="12"/>
      <c r="D689" s="12"/>
      <c r="E689" s="12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customFormat="false" ht="15.75" hidden="false" customHeight="true" outlineLevel="0" collapsed="false">
      <c r="A690" s="12"/>
      <c r="B690" s="12"/>
      <c r="C690" s="12"/>
      <c r="D690" s="12"/>
      <c r="E690" s="12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customFormat="false" ht="15.75" hidden="false" customHeight="true" outlineLevel="0" collapsed="false">
      <c r="A691" s="12"/>
      <c r="B691" s="12"/>
      <c r="C691" s="12"/>
      <c r="D691" s="12"/>
      <c r="E691" s="12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customFormat="false" ht="15.75" hidden="false" customHeight="true" outlineLevel="0" collapsed="false">
      <c r="A692" s="12"/>
      <c r="B692" s="12"/>
      <c r="C692" s="12"/>
      <c r="D692" s="12"/>
      <c r="E692" s="12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customFormat="false" ht="15.75" hidden="false" customHeight="true" outlineLevel="0" collapsed="false">
      <c r="A693" s="12"/>
      <c r="B693" s="12"/>
      <c r="C693" s="12"/>
      <c r="D693" s="12"/>
      <c r="E693" s="12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customFormat="false" ht="15.75" hidden="false" customHeight="true" outlineLevel="0" collapsed="false">
      <c r="A694" s="12"/>
      <c r="B694" s="12"/>
      <c r="C694" s="12"/>
      <c r="D694" s="12"/>
      <c r="E694" s="12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customFormat="false" ht="15.75" hidden="false" customHeight="true" outlineLevel="0" collapsed="false">
      <c r="A695" s="12"/>
      <c r="B695" s="12"/>
      <c r="C695" s="12"/>
      <c r="D695" s="12"/>
      <c r="E695" s="12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customFormat="false" ht="15.75" hidden="false" customHeight="true" outlineLevel="0" collapsed="false">
      <c r="A696" s="12"/>
      <c r="B696" s="12"/>
      <c r="C696" s="12"/>
      <c r="D696" s="12"/>
      <c r="E696" s="12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customFormat="false" ht="15.75" hidden="false" customHeight="true" outlineLevel="0" collapsed="false">
      <c r="A697" s="12"/>
      <c r="B697" s="12"/>
      <c r="C697" s="12"/>
      <c r="D697" s="12"/>
      <c r="E697" s="12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customFormat="false" ht="15.75" hidden="false" customHeight="true" outlineLevel="0" collapsed="false">
      <c r="A698" s="12"/>
      <c r="B698" s="12"/>
      <c r="C698" s="12"/>
      <c r="D698" s="12"/>
      <c r="E698" s="12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customFormat="false" ht="15.75" hidden="false" customHeight="true" outlineLevel="0" collapsed="false">
      <c r="A699" s="12"/>
      <c r="B699" s="12"/>
      <c r="C699" s="12"/>
      <c r="D699" s="12"/>
      <c r="E699" s="12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customFormat="false" ht="15.75" hidden="false" customHeight="true" outlineLevel="0" collapsed="false">
      <c r="A700" s="12"/>
      <c r="B700" s="12"/>
      <c r="C700" s="12"/>
      <c r="D700" s="12"/>
      <c r="E700" s="12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customFormat="false" ht="15.75" hidden="false" customHeight="true" outlineLevel="0" collapsed="false">
      <c r="A701" s="12"/>
      <c r="B701" s="12"/>
      <c r="C701" s="12"/>
      <c r="D701" s="12"/>
      <c r="E701" s="12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customFormat="false" ht="15.75" hidden="false" customHeight="true" outlineLevel="0" collapsed="false">
      <c r="A702" s="12"/>
      <c r="B702" s="12"/>
      <c r="C702" s="12"/>
      <c r="D702" s="12"/>
      <c r="E702" s="12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customFormat="false" ht="15.75" hidden="false" customHeight="true" outlineLevel="0" collapsed="false">
      <c r="A703" s="12"/>
      <c r="B703" s="12"/>
      <c r="C703" s="12"/>
      <c r="D703" s="12"/>
      <c r="E703" s="12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customFormat="false" ht="15.75" hidden="false" customHeight="true" outlineLevel="0" collapsed="false">
      <c r="A704" s="12"/>
      <c r="B704" s="12"/>
      <c r="C704" s="12"/>
      <c r="D704" s="12"/>
      <c r="E704" s="12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customFormat="false" ht="15.75" hidden="false" customHeight="true" outlineLevel="0" collapsed="false">
      <c r="A705" s="12"/>
      <c r="B705" s="12"/>
      <c r="C705" s="12"/>
      <c r="D705" s="12"/>
      <c r="E705" s="12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customFormat="false" ht="15.75" hidden="false" customHeight="true" outlineLevel="0" collapsed="false">
      <c r="A706" s="12"/>
      <c r="B706" s="12"/>
      <c r="C706" s="12"/>
      <c r="D706" s="12"/>
      <c r="E706" s="12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customFormat="false" ht="15.75" hidden="false" customHeight="true" outlineLevel="0" collapsed="false">
      <c r="A707" s="12"/>
      <c r="B707" s="12"/>
      <c r="C707" s="12"/>
      <c r="D707" s="12"/>
      <c r="E707" s="12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customFormat="false" ht="15.75" hidden="false" customHeight="true" outlineLevel="0" collapsed="false">
      <c r="A708" s="12"/>
      <c r="B708" s="12"/>
      <c r="C708" s="12"/>
      <c r="D708" s="12"/>
      <c r="E708" s="12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customFormat="false" ht="15.75" hidden="false" customHeight="true" outlineLevel="0" collapsed="false">
      <c r="A709" s="12"/>
      <c r="B709" s="12"/>
      <c r="C709" s="12"/>
      <c r="D709" s="12"/>
      <c r="E709" s="12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customFormat="false" ht="15.75" hidden="false" customHeight="true" outlineLevel="0" collapsed="false">
      <c r="A710" s="12"/>
      <c r="B710" s="12"/>
      <c r="C710" s="12"/>
      <c r="D710" s="12"/>
      <c r="E710" s="12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customFormat="false" ht="15.75" hidden="false" customHeight="true" outlineLevel="0" collapsed="false">
      <c r="A711" s="12"/>
      <c r="B711" s="12"/>
      <c r="C711" s="12"/>
      <c r="D711" s="12"/>
      <c r="E711" s="12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customFormat="false" ht="15.75" hidden="false" customHeight="true" outlineLevel="0" collapsed="false">
      <c r="A712" s="12"/>
      <c r="B712" s="12"/>
      <c r="C712" s="12"/>
      <c r="D712" s="12"/>
      <c r="E712" s="12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customFormat="false" ht="15.75" hidden="false" customHeight="true" outlineLevel="0" collapsed="false">
      <c r="A713" s="12"/>
      <c r="B713" s="12"/>
      <c r="C713" s="12"/>
      <c r="D713" s="12"/>
      <c r="E713" s="12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customFormat="false" ht="15.75" hidden="false" customHeight="true" outlineLevel="0" collapsed="false">
      <c r="A714" s="12"/>
      <c r="B714" s="12"/>
      <c r="C714" s="12"/>
      <c r="D714" s="12"/>
      <c r="E714" s="12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customFormat="false" ht="15.75" hidden="false" customHeight="true" outlineLevel="0" collapsed="false">
      <c r="A715" s="12"/>
      <c r="B715" s="12"/>
      <c r="C715" s="12"/>
      <c r="D715" s="12"/>
      <c r="E715" s="12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customFormat="false" ht="15.75" hidden="false" customHeight="true" outlineLevel="0" collapsed="false">
      <c r="A716" s="12"/>
      <c r="B716" s="12"/>
      <c r="C716" s="12"/>
      <c r="D716" s="12"/>
      <c r="E716" s="12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customFormat="false" ht="15.75" hidden="false" customHeight="true" outlineLevel="0" collapsed="false">
      <c r="A717" s="12"/>
      <c r="B717" s="12"/>
      <c r="C717" s="12"/>
      <c r="D717" s="12"/>
      <c r="E717" s="12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customFormat="false" ht="15.75" hidden="false" customHeight="true" outlineLevel="0" collapsed="false">
      <c r="A718" s="12"/>
      <c r="B718" s="12"/>
      <c r="C718" s="12"/>
      <c r="D718" s="12"/>
      <c r="E718" s="12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customFormat="false" ht="15.75" hidden="false" customHeight="true" outlineLevel="0" collapsed="false">
      <c r="A719" s="12"/>
      <c r="B719" s="12"/>
      <c r="C719" s="12"/>
      <c r="D719" s="12"/>
      <c r="E719" s="12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customFormat="false" ht="15.75" hidden="false" customHeight="true" outlineLevel="0" collapsed="false">
      <c r="A720" s="12"/>
      <c r="B720" s="12"/>
      <c r="C720" s="12"/>
      <c r="D720" s="12"/>
      <c r="E720" s="12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customFormat="false" ht="15.75" hidden="false" customHeight="true" outlineLevel="0" collapsed="false">
      <c r="A721" s="12"/>
      <c r="B721" s="12"/>
      <c r="C721" s="12"/>
      <c r="D721" s="12"/>
      <c r="E721" s="12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customFormat="false" ht="15.75" hidden="false" customHeight="true" outlineLevel="0" collapsed="false">
      <c r="A722" s="12"/>
      <c r="B722" s="12"/>
      <c r="C722" s="12"/>
      <c r="D722" s="12"/>
      <c r="E722" s="12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customFormat="false" ht="15.75" hidden="false" customHeight="true" outlineLevel="0" collapsed="false">
      <c r="A723" s="12"/>
      <c r="B723" s="12"/>
      <c r="C723" s="12"/>
      <c r="D723" s="12"/>
      <c r="E723" s="12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customFormat="false" ht="15.75" hidden="false" customHeight="true" outlineLevel="0" collapsed="false">
      <c r="A724" s="12"/>
      <c r="B724" s="12"/>
      <c r="C724" s="12"/>
      <c r="D724" s="12"/>
      <c r="E724" s="12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customFormat="false" ht="15.75" hidden="false" customHeight="true" outlineLevel="0" collapsed="false">
      <c r="A725" s="12"/>
      <c r="B725" s="12"/>
      <c r="C725" s="12"/>
      <c r="D725" s="12"/>
      <c r="E725" s="12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customFormat="false" ht="15.75" hidden="false" customHeight="true" outlineLevel="0" collapsed="false">
      <c r="A726" s="12"/>
      <c r="B726" s="12"/>
      <c r="C726" s="12"/>
      <c r="D726" s="12"/>
      <c r="E726" s="12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customFormat="false" ht="15.75" hidden="false" customHeight="true" outlineLevel="0" collapsed="false">
      <c r="A727" s="12"/>
      <c r="B727" s="12"/>
      <c r="C727" s="12"/>
      <c r="D727" s="12"/>
      <c r="E727" s="12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customFormat="false" ht="15.75" hidden="false" customHeight="true" outlineLevel="0" collapsed="false">
      <c r="A728" s="12"/>
      <c r="B728" s="12"/>
      <c r="C728" s="12"/>
      <c r="D728" s="12"/>
      <c r="E728" s="12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customFormat="false" ht="15.75" hidden="false" customHeight="true" outlineLevel="0" collapsed="false">
      <c r="A729" s="12"/>
      <c r="B729" s="12"/>
      <c r="C729" s="12"/>
      <c r="D729" s="12"/>
      <c r="E729" s="12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customFormat="false" ht="15.75" hidden="false" customHeight="true" outlineLevel="0" collapsed="false">
      <c r="A730" s="12"/>
      <c r="B730" s="12"/>
      <c r="C730" s="12"/>
      <c r="D730" s="12"/>
      <c r="E730" s="12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customFormat="false" ht="15.75" hidden="false" customHeight="true" outlineLevel="0" collapsed="false">
      <c r="A731" s="12"/>
      <c r="B731" s="12"/>
      <c r="C731" s="12"/>
      <c r="D731" s="12"/>
      <c r="E731" s="12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customFormat="false" ht="15.75" hidden="false" customHeight="true" outlineLevel="0" collapsed="false">
      <c r="A732" s="12"/>
      <c r="B732" s="12"/>
      <c r="C732" s="12"/>
      <c r="D732" s="12"/>
      <c r="E732" s="12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customFormat="false" ht="15.75" hidden="false" customHeight="true" outlineLevel="0" collapsed="false">
      <c r="A733" s="12"/>
      <c r="B733" s="12"/>
      <c r="C733" s="12"/>
      <c r="D733" s="12"/>
      <c r="E733" s="12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customFormat="false" ht="15.75" hidden="false" customHeight="true" outlineLevel="0" collapsed="false">
      <c r="A734" s="12"/>
      <c r="B734" s="12"/>
      <c r="C734" s="12"/>
      <c r="D734" s="12"/>
      <c r="E734" s="12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customFormat="false" ht="15.75" hidden="false" customHeight="true" outlineLevel="0" collapsed="false">
      <c r="A735" s="12"/>
      <c r="B735" s="12"/>
      <c r="C735" s="12"/>
      <c r="D735" s="12"/>
      <c r="E735" s="12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customFormat="false" ht="15.75" hidden="false" customHeight="true" outlineLevel="0" collapsed="false">
      <c r="A736" s="12"/>
      <c r="B736" s="12"/>
      <c r="C736" s="12"/>
      <c r="D736" s="12"/>
      <c r="E736" s="12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customFormat="false" ht="15.75" hidden="false" customHeight="true" outlineLevel="0" collapsed="false">
      <c r="A737" s="12"/>
      <c r="B737" s="12"/>
      <c r="C737" s="12"/>
      <c r="D737" s="12"/>
      <c r="E737" s="12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customFormat="false" ht="15.75" hidden="false" customHeight="true" outlineLevel="0" collapsed="false">
      <c r="A738" s="12"/>
      <c r="B738" s="12"/>
      <c r="C738" s="12"/>
      <c r="D738" s="12"/>
      <c r="E738" s="12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customFormat="false" ht="15.75" hidden="false" customHeight="true" outlineLevel="0" collapsed="false">
      <c r="A739" s="12"/>
      <c r="B739" s="12"/>
      <c r="C739" s="12"/>
      <c r="D739" s="12"/>
      <c r="E739" s="12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customFormat="false" ht="15.75" hidden="false" customHeight="true" outlineLevel="0" collapsed="false">
      <c r="A740" s="12"/>
      <c r="B740" s="12"/>
      <c r="C740" s="12"/>
      <c r="D740" s="12"/>
      <c r="E740" s="12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customFormat="false" ht="15.75" hidden="false" customHeight="true" outlineLevel="0" collapsed="false">
      <c r="A741" s="12"/>
      <c r="B741" s="12"/>
      <c r="C741" s="12"/>
      <c r="D741" s="12"/>
      <c r="E741" s="12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customFormat="false" ht="15.75" hidden="false" customHeight="true" outlineLevel="0" collapsed="false">
      <c r="A742" s="12"/>
      <c r="B742" s="12"/>
      <c r="C742" s="12"/>
      <c r="D742" s="12"/>
      <c r="E742" s="12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customFormat="false" ht="15.75" hidden="false" customHeight="true" outlineLevel="0" collapsed="false">
      <c r="A743" s="12"/>
      <c r="B743" s="12"/>
      <c r="C743" s="12"/>
      <c r="D743" s="12"/>
      <c r="E743" s="12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customFormat="false" ht="15.75" hidden="false" customHeight="true" outlineLevel="0" collapsed="false">
      <c r="A744" s="12"/>
      <c r="B744" s="12"/>
      <c r="C744" s="12"/>
      <c r="D744" s="12"/>
      <c r="E744" s="12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customFormat="false" ht="15.75" hidden="false" customHeight="true" outlineLevel="0" collapsed="false">
      <c r="A745" s="12"/>
      <c r="B745" s="12"/>
      <c r="C745" s="12"/>
      <c r="D745" s="12"/>
      <c r="E745" s="12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customFormat="false" ht="15.75" hidden="false" customHeight="true" outlineLevel="0" collapsed="false">
      <c r="A746" s="12"/>
      <c r="B746" s="12"/>
      <c r="C746" s="12"/>
      <c r="D746" s="12"/>
      <c r="E746" s="12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customFormat="false" ht="15.75" hidden="false" customHeight="true" outlineLevel="0" collapsed="false">
      <c r="A747" s="12"/>
      <c r="B747" s="12"/>
      <c r="C747" s="12"/>
      <c r="D747" s="12"/>
      <c r="E747" s="12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customFormat="false" ht="15.75" hidden="false" customHeight="true" outlineLevel="0" collapsed="false">
      <c r="A748" s="12"/>
      <c r="B748" s="12"/>
      <c r="C748" s="12"/>
      <c r="D748" s="12"/>
      <c r="E748" s="12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customFormat="false" ht="15.75" hidden="false" customHeight="true" outlineLevel="0" collapsed="false">
      <c r="A749" s="12"/>
      <c r="B749" s="12"/>
      <c r="C749" s="12"/>
      <c r="D749" s="12"/>
      <c r="E749" s="12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customFormat="false" ht="15.75" hidden="false" customHeight="true" outlineLevel="0" collapsed="false">
      <c r="A750" s="12"/>
      <c r="B750" s="12"/>
      <c r="C750" s="12"/>
      <c r="D750" s="12"/>
      <c r="E750" s="12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customFormat="false" ht="15.75" hidden="false" customHeight="true" outlineLevel="0" collapsed="false">
      <c r="A751" s="12"/>
      <c r="B751" s="12"/>
      <c r="C751" s="12"/>
      <c r="D751" s="12"/>
      <c r="E751" s="12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customFormat="false" ht="15.75" hidden="false" customHeight="true" outlineLevel="0" collapsed="false">
      <c r="A752" s="12"/>
      <c r="B752" s="12"/>
      <c r="C752" s="12"/>
      <c r="D752" s="12"/>
      <c r="E752" s="12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customFormat="false" ht="15.75" hidden="false" customHeight="true" outlineLevel="0" collapsed="false">
      <c r="A753" s="12"/>
      <c r="B753" s="12"/>
      <c r="C753" s="12"/>
      <c r="D753" s="12"/>
      <c r="E753" s="12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customFormat="false" ht="15.75" hidden="false" customHeight="true" outlineLevel="0" collapsed="false">
      <c r="A754" s="12"/>
      <c r="B754" s="12"/>
      <c r="C754" s="12"/>
      <c r="D754" s="12"/>
      <c r="E754" s="12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customFormat="false" ht="15.75" hidden="false" customHeight="true" outlineLevel="0" collapsed="false">
      <c r="A755" s="12"/>
      <c r="B755" s="12"/>
      <c r="C755" s="12"/>
      <c r="D755" s="12"/>
      <c r="E755" s="12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customFormat="false" ht="15.75" hidden="false" customHeight="true" outlineLevel="0" collapsed="false">
      <c r="A756" s="12"/>
      <c r="B756" s="12"/>
      <c r="C756" s="12"/>
      <c r="D756" s="12"/>
      <c r="E756" s="12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customFormat="false" ht="15.75" hidden="false" customHeight="true" outlineLevel="0" collapsed="false">
      <c r="A757" s="12"/>
      <c r="B757" s="12"/>
      <c r="C757" s="12"/>
      <c r="D757" s="12"/>
      <c r="E757" s="12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customFormat="false" ht="15.75" hidden="false" customHeight="true" outlineLevel="0" collapsed="false">
      <c r="A758" s="12"/>
      <c r="B758" s="12"/>
      <c r="C758" s="12"/>
      <c r="D758" s="12"/>
      <c r="E758" s="12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customFormat="false" ht="15.75" hidden="false" customHeight="true" outlineLevel="0" collapsed="false">
      <c r="A759" s="12"/>
      <c r="B759" s="12"/>
      <c r="C759" s="12"/>
      <c r="D759" s="12"/>
      <c r="E759" s="12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customFormat="false" ht="15.75" hidden="false" customHeight="true" outlineLevel="0" collapsed="false">
      <c r="A760" s="12"/>
      <c r="B760" s="12"/>
      <c r="C760" s="12"/>
      <c r="D760" s="12"/>
      <c r="E760" s="12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customFormat="false" ht="15.75" hidden="false" customHeight="true" outlineLevel="0" collapsed="false">
      <c r="A761" s="12"/>
      <c r="B761" s="12"/>
      <c r="C761" s="12"/>
      <c r="D761" s="12"/>
      <c r="E761" s="12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customFormat="false" ht="15.75" hidden="false" customHeight="true" outlineLevel="0" collapsed="false">
      <c r="A762" s="12"/>
      <c r="B762" s="12"/>
      <c r="C762" s="12"/>
      <c r="D762" s="12"/>
      <c r="E762" s="12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customFormat="false" ht="15.75" hidden="false" customHeight="true" outlineLevel="0" collapsed="false">
      <c r="A763" s="12"/>
      <c r="B763" s="12"/>
      <c r="C763" s="12"/>
      <c r="D763" s="12"/>
      <c r="E763" s="12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customFormat="false" ht="15.75" hidden="false" customHeight="true" outlineLevel="0" collapsed="false">
      <c r="A764" s="12"/>
      <c r="B764" s="12"/>
      <c r="C764" s="12"/>
      <c r="D764" s="12"/>
      <c r="E764" s="12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customFormat="false" ht="15.75" hidden="false" customHeight="true" outlineLevel="0" collapsed="false">
      <c r="A765" s="12"/>
      <c r="B765" s="12"/>
      <c r="C765" s="12"/>
      <c r="D765" s="12"/>
      <c r="E765" s="12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customFormat="false" ht="15.75" hidden="false" customHeight="true" outlineLevel="0" collapsed="false">
      <c r="A766" s="12"/>
      <c r="B766" s="12"/>
      <c r="C766" s="12"/>
      <c r="D766" s="12"/>
      <c r="E766" s="12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customFormat="false" ht="15.75" hidden="false" customHeight="true" outlineLevel="0" collapsed="false">
      <c r="A767" s="12"/>
      <c r="B767" s="12"/>
      <c r="C767" s="12"/>
      <c r="D767" s="12"/>
      <c r="E767" s="12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customFormat="false" ht="15.75" hidden="false" customHeight="true" outlineLevel="0" collapsed="false">
      <c r="A768" s="12"/>
      <c r="B768" s="12"/>
      <c r="C768" s="12"/>
      <c r="D768" s="12"/>
      <c r="E768" s="12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customFormat="false" ht="15.75" hidden="false" customHeight="true" outlineLevel="0" collapsed="false">
      <c r="A769" s="12"/>
      <c r="B769" s="12"/>
      <c r="C769" s="12"/>
      <c r="D769" s="12"/>
      <c r="E769" s="12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customFormat="false" ht="15.75" hidden="false" customHeight="true" outlineLevel="0" collapsed="false">
      <c r="A770" s="12"/>
      <c r="B770" s="12"/>
      <c r="C770" s="12"/>
      <c r="D770" s="12"/>
      <c r="E770" s="12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customFormat="false" ht="15.75" hidden="false" customHeight="true" outlineLevel="0" collapsed="false">
      <c r="A771" s="12"/>
      <c r="B771" s="12"/>
      <c r="C771" s="12"/>
      <c r="D771" s="12"/>
      <c r="E771" s="12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customFormat="false" ht="15.75" hidden="false" customHeight="true" outlineLevel="0" collapsed="false">
      <c r="A772" s="12"/>
      <c r="B772" s="12"/>
      <c r="C772" s="12"/>
      <c r="D772" s="12"/>
      <c r="E772" s="12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customFormat="false" ht="15.75" hidden="false" customHeight="true" outlineLevel="0" collapsed="false">
      <c r="A773" s="12"/>
      <c r="B773" s="12"/>
      <c r="C773" s="12"/>
      <c r="D773" s="12"/>
      <c r="E773" s="12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customFormat="false" ht="15.75" hidden="false" customHeight="true" outlineLevel="0" collapsed="false">
      <c r="A774" s="12"/>
      <c r="B774" s="12"/>
      <c r="C774" s="12"/>
      <c r="D774" s="12"/>
      <c r="E774" s="12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customFormat="false" ht="15.75" hidden="false" customHeight="true" outlineLevel="0" collapsed="false">
      <c r="A775" s="12"/>
      <c r="B775" s="12"/>
      <c r="C775" s="12"/>
      <c r="D775" s="12"/>
      <c r="E775" s="12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customFormat="false" ht="15.75" hidden="false" customHeight="true" outlineLevel="0" collapsed="false">
      <c r="A776" s="12"/>
      <c r="B776" s="12"/>
      <c r="C776" s="12"/>
      <c r="D776" s="12"/>
      <c r="E776" s="12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customFormat="false" ht="15.75" hidden="false" customHeight="true" outlineLevel="0" collapsed="false">
      <c r="A777" s="12"/>
      <c r="B777" s="12"/>
      <c r="C777" s="12"/>
      <c r="D777" s="12"/>
      <c r="E777" s="12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customFormat="false" ht="15.75" hidden="false" customHeight="true" outlineLevel="0" collapsed="false">
      <c r="A778" s="12"/>
      <c r="B778" s="12"/>
      <c r="C778" s="12"/>
      <c r="D778" s="12"/>
      <c r="E778" s="12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customFormat="false" ht="15.75" hidden="false" customHeight="true" outlineLevel="0" collapsed="false">
      <c r="A779" s="12"/>
      <c r="B779" s="12"/>
      <c r="C779" s="12"/>
      <c r="D779" s="12"/>
      <c r="E779" s="12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customFormat="false" ht="15.75" hidden="false" customHeight="true" outlineLevel="0" collapsed="false">
      <c r="A780" s="12"/>
      <c r="B780" s="12"/>
      <c r="C780" s="12"/>
      <c r="D780" s="12"/>
      <c r="E780" s="12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customFormat="false" ht="15.75" hidden="false" customHeight="true" outlineLevel="0" collapsed="false">
      <c r="A781" s="12"/>
      <c r="B781" s="12"/>
      <c r="C781" s="12"/>
      <c r="D781" s="12"/>
      <c r="E781" s="12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customFormat="false" ht="15.75" hidden="false" customHeight="true" outlineLevel="0" collapsed="false">
      <c r="A782" s="12"/>
      <c r="B782" s="12"/>
      <c r="C782" s="12"/>
      <c r="D782" s="12"/>
      <c r="E782" s="12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customFormat="false" ht="15.75" hidden="false" customHeight="true" outlineLevel="0" collapsed="false">
      <c r="A783" s="12"/>
      <c r="B783" s="12"/>
      <c r="C783" s="12"/>
      <c r="D783" s="12"/>
      <c r="E783" s="12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customFormat="false" ht="15.75" hidden="false" customHeight="true" outlineLevel="0" collapsed="false">
      <c r="A784" s="12"/>
      <c r="B784" s="12"/>
      <c r="C784" s="12"/>
      <c r="D784" s="12"/>
      <c r="E784" s="12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customFormat="false" ht="15.75" hidden="false" customHeight="true" outlineLevel="0" collapsed="false">
      <c r="A785" s="12"/>
      <c r="B785" s="12"/>
      <c r="C785" s="12"/>
      <c r="D785" s="12"/>
      <c r="E785" s="12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customFormat="false" ht="15.75" hidden="false" customHeight="true" outlineLevel="0" collapsed="false">
      <c r="A786" s="12"/>
      <c r="B786" s="12"/>
      <c r="C786" s="12"/>
      <c r="D786" s="12"/>
      <c r="E786" s="12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customFormat="false" ht="15.75" hidden="false" customHeight="true" outlineLevel="0" collapsed="false">
      <c r="A787" s="12"/>
      <c r="B787" s="12"/>
      <c r="C787" s="12"/>
      <c r="D787" s="12"/>
      <c r="E787" s="12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customFormat="false" ht="15.75" hidden="false" customHeight="true" outlineLevel="0" collapsed="false">
      <c r="A788" s="12"/>
      <c r="B788" s="12"/>
      <c r="C788" s="12"/>
      <c r="D788" s="12"/>
      <c r="E788" s="12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customFormat="false" ht="15.75" hidden="false" customHeight="true" outlineLevel="0" collapsed="false">
      <c r="A789" s="12"/>
      <c r="B789" s="12"/>
      <c r="C789" s="12"/>
      <c r="D789" s="12"/>
      <c r="E789" s="12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customFormat="false" ht="15.75" hidden="false" customHeight="true" outlineLevel="0" collapsed="false">
      <c r="A790" s="12"/>
      <c r="B790" s="12"/>
      <c r="C790" s="12"/>
      <c r="D790" s="12"/>
      <c r="E790" s="12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customFormat="false" ht="15.75" hidden="false" customHeight="true" outlineLevel="0" collapsed="false">
      <c r="A791" s="12"/>
      <c r="B791" s="12"/>
      <c r="C791" s="12"/>
      <c r="D791" s="12"/>
      <c r="E791" s="12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customFormat="false" ht="15.75" hidden="false" customHeight="true" outlineLevel="0" collapsed="false">
      <c r="A792" s="12"/>
      <c r="B792" s="12"/>
      <c r="C792" s="12"/>
      <c r="D792" s="12"/>
      <c r="E792" s="12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customFormat="false" ht="15.75" hidden="false" customHeight="true" outlineLevel="0" collapsed="false">
      <c r="A793" s="12"/>
      <c r="B793" s="12"/>
      <c r="C793" s="12"/>
      <c r="D793" s="12"/>
      <c r="E793" s="12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customFormat="false" ht="15.75" hidden="false" customHeight="true" outlineLevel="0" collapsed="false">
      <c r="A794" s="12"/>
      <c r="B794" s="12"/>
      <c r="C794" s="12"/>
      <c r="D794" s="12"/>
      <c r="E794" s="12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customFormat="false" ht="15.75" hidden="false" customHeight="true" outlineLevel="0" collapsed="false">
      <c r="A795" s="12"/>
      <c r="B795" s="12"/>
      <c r="C795" s="12"/>
      <c r="D795" s="12"/>
      <c r="E795" s="12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customFormat="false" ht="15.75" hidden="false" customHeight="true" outlineLevel="0" collapsed="false">
      <c r="A796" s="12"/>
      <c r="B796" s="12"/>
      <c r="C796" s="12"/>
      <c r="D796" s="12"/>
      <c r="E796" s="12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customFormat="false" ht="15.75" hidden="false" customHeight="true" outlineLevel="0" collapsed="false">
      <c r="A797" s="12"/>
      <c r="B797" s="12"/>
      <c r="C797" s="12"/>
      <c r="D797" s="12"/>
      <c r="E797" s="12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customFormat="false" ht="15.75" hidden="false" customHeight="true" outlineLevel="0" collapsed="false">
      <c r="A798" s="12"/>
      <c r="B798" s="12"/>
      <c r="C798" s="12"/>
      <c r="D798" s="12"/>
      <c r="E798" s="12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customFormat="false" ht="15.75" hidden="false" customHeight="true" outlineLevel="0" collapsed="false">
      <c r="A799" s="12"/>
      <c r="B799" s="12"/>
      <c r="C799" s="12"/>
      <c r="D799" s="12"/>
      <c r="E799" s="12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customFormat="false" ht="15.75" hidden="false" customHeight="true" outlineLevel="0" collapsed="false">
      <c r="A800" s="12"/>
      <c r="B800" s="12"/>
      <c r="C800" s="12"/>
      <c r="D800" s="12"/>
      <c r="E800" s="12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customFormat="false" ht="15.75" hidden="false" customHeight="true" outlineLevel="0" collapsed="false">
      <c r="A801" s="12"/>
      <c r="B801" s="12"/>
      <c r="C801" s="12"/>
      <c r="D801" s="12"/>
      <c r="E801" s="12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customFormat="false" ht="15.75" hidden="false" customHeight="true" outlineLevel="0" collapsed="false">
      <c r="A802" s="12"/>
      <c r="B802" s="12"/>
      <c r="C802" s="12"/>
      <c r="D802" s="12"/>
      <c r="E802" s="12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customFormat="false" ht="15.75" hidden="false" customHeight="true" outlineLevel="0" collapsed="false">
      <c r="A803" s="12"/>
      <c r="B803" s="12"/>
      <c r="C803" s="12"/>
      <c r="D803" s="12"/>
      <c r="E803" s="12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customFormat="false" ht="15.75" hidden="false" customHeight="true" outlineLevel="0" collapsed="false">
      <c r="A804" s="12"/>
      <c r="B804" s="12"/>
      <c r="C804" s="12"/>
      <c r="D804" s="12"/>
      <c r="E804" s="12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customFormat="false" ht="15.75" hidden="false" customHeight="true" outlineLevel="0" collapsed="false">
      <c r="A805" s="12"/>
      <c r="B805" s="12"/>
      <c r="C805" s="12"/>
      <c r="D805" s="12"/>
      <c r="E805" s="12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customFormat="false" ht="15.75" hidden="false" customHeight="true" outlineLevel="0" collapsed="false">
      <c r="A806" s="12"/>
      <c r="B806" s="12"/>
      <c r="C806" s="12"/>
      <c r="D806" s="12"/>
      <c r="E806" s="12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customFormat="false" ht="15.75" hidden="false" customHeight="true" outlineLevel="0" collapsed="false">
      <c r="A807" s="12"/>
      <c r="B807" s="12"/>
      <c r="C807" s="12"/>
      <c r="D807" s="12"/>
      <c r="E807" s="12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customFormat="false" ht="15.75" hidden="false" customHeight="true" outlineLevel="0" collapsed="false">
      <c r="A808" s="12"/>
      <c r="B808" s="12"/>
      <c r="C808" s="12"/>
      <c r="D808" s="12"/>
      <c r="E808" s="12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customFormat="false" ht="15.75" hidden="false" customHeight="true" outlineLevel="0" collapsed="false">
      <c r="A809" s="12"/>
      <c r="B809" s="12"/>
      <c r="C809" s="12"/>
      <c r="D809" s="12"/>
      <c r="E809" s="12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customFormat="false" ht="15.75" hidden="false" customHeight="true" outlineLevel="0" collapsed="false">
      <c r="A810" s="12"/>
      <c r="B810" s="12"/>
      <c r="C810" s="12"/>
      <c r="D810" s="12"/>
      <c r="E810" s="12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customFormat="false" ht="15.75" hidden="false" customHeight="true" outlineLevel="0" collapsed="false">
      <c r="A811" s="12"/>
      <c r="B811" s="12"/>
      <c r="C811" s="12"/>
      <c r="D811" s="12"/>
      <c r="E811" s="12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customFormat="false" ht="15.75" hidden="false" customHeight="true" outlineLevel="0" collapsed="false">
      <c r="A812" s="12"/>
      <c r="B812" s="12"/>
      <c r="C812" s="12"/>
      <c r="D812" s="12"/>
      <c r="E812" s="12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customFormat="false" ht="15.75" hidden="false" customHeight="true" outlineLevel="0" collapsed="false">
      <c r="A813" s="12"/>
      <c r="B813" s="12"/>
      <c r="C813" s="12"/>
      <c r="D813" s="12"/>
      <c r="E813" s="12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customFormat="false" ht="15.75" hidden="false" customHeight="true" outlineLevel="0" collapsed="false">
      <c r="A814" s="12"/>
      <c r="B814" s="12"/>
      <c r="C814" s="12"/>
      <c r="D814" s="12"/>
      <c r="E814" s="12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customFormat="false" ht="15.75" hidden="false" customHeight="true" outlineLevel="0" collapsed="false">
      <c r="A815" s="12"/>
      <c r="B815" s="12"/>
      <c r="C815" s="12"/>
      <c r="D815" s="12"/>
      <c r="E815" s="12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customFormat="false" ht="15.75" hidden="false" customHeight="true" outlineLevel="0" collapsed="false">
      <c r="A816" s="12"/>
      <c r="B816" s="12"/>
      <c r="C816" s="12"/>
      <c r="D816" s="12"/>
      <c r="E816" s="12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customFormat="false" ht="15.75" hidden="false" customHeight="true" outlineLevel="0" collapsed="false">
      <c r="A817" s="12"/>
      <c r="B817" s="12"/>
      <c r="C817" s="12"/>
      <c r="D817" s="12"/>
      <c r="E817" s="12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customFormat="false" ht="15.75" hidden="false" customHeight="true" outlineLevel="0" collapsed="false">
      <c r="A818" s="12"/>
      <c r="B818" s="12"/>
      <c r="C818" s="12"/>
      <c r="D818" s="12"/>
      <c r="E818" s="12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customFormat="false" ht="15.75" hidden="false" customHeight="true" outlineLevel="0" collapsed="false">
      <c r="A819" s="12"/>
      <c r="B819" s="12"/>
      <c r="C819" s="12"/>
      <c r="D819" s="12"/>
      <c r="E819" s="12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customFormat="false" ht="15.75" hidden="false" customHeight="true" outlineLevel="0" collapsed="false">
      <c r="A820" s="12"/>
      <c r="B820" s="12"/>
      <c r="C820" s="12"/>
      <c r="D820" s="12"/>
      <c r="E820" s="12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customFormat="false" ht="15.75" hidden="false" customHeight="true" outlineLevel="0" collapsed="false">
      <c r="A821" s="12"/>
      <c r="B821" s="12"/>
      <c r="C821" s="12"/>
      <c r="D821" s="12"/>
      <c r="E821" s="12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customFormat="false" ht="15.75" hidden="false" customHeight="true" outlineLevel="0" collapsed="false">
      <c r="A822" s="12"/>
      <c r="B822" s="12"/>
      <c r="C822" s="12"/>
      <c r="D822" s="12"/>
      <c r="E822" s="12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customFormat="false" ht="15.75" hidden="false" customHeight="true" outlineLevel="0" collapsed="false">
      <c r="A823" s="12"/>
      <c r="B823" s="12"/>
      <c r="C823" s="12"/>
      <c r="D823" s="12"/>
      <c r="E823" s="12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customFormat="false" ht="15.75" hidden="false" customHeight="true" outlineLevel="0" collapsed="false">
      <c r="A824" s="12"/>
      <c r="B824" s="12"/>
      <c r="C824" s="12"/>
      <c r="D824" s="12"/>
      <c r="E824" s="12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customFormat="false" ht="15.75" hidden="false" customHeight="true" outlineLevel="0" collapsed="false">
      <c r="A825" s="12"/>
      <c r="B825" s="12"/>
      <c r="C825" s="12"/>
      <c r="D825" s="12"/>
      <c r="E825" s="12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customFormat="false" ht="15.75" hidden="false" customHeight="true" outlineLevel="0" collapsed="false">
      <c r="A826" s="12"/>
      <c r="B826" s="12"/>
      <c r="C826" s="12"/>
      <c r="D826" s="12"/>
      <c r="E826" s="12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customFormat="false" ht="15.75" hidden="false" customHeight="true" outlineLevel="0" collapsed="false">
      <c r="A827" s="12"/>
      <c r="B827" s="12"/>
      <c r="C827" s="12"/>
      <c r="D827" s="12"/>
      <c r="E827" s="12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customFormat="false" ht="15.75" hidden="false" customHeight="true" outlineLevel="0" collapsed="false">
      <c r="A828" s="12"/>
      <c r="B828" s="12"/>
      <c r="C828" s="12"/>
      <c r="D828" s="12"/>
      <c r="E828" s="12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customFormat="false" ht="15.75" hidden="false" customHeight="true" outlineLevel="0" collapsed="false">
      <c r="A829" s="12"/>
      <c r="B829" s="12"/>
      <c r="C829" s="12"/>
      <c r="D829" s="12"/>
      <c r="E829" s="12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customFormat="false" ht="15.75" hidden="false" customHeight="true" outlineLevel="0" collapsed="false">
      <c r="A830" s="12"/>
      <c r="B830" s="12"/>
      <c r="C830" s="12"/>
      <c r="D830" s="12"/>
      <c r="E830" s="12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customFormat="false" ht="15.75" hidden="false" customHeight="true" outlineLevel="0" collapsed="false">
      <c r="A831" s="12"/>
      <c r="B831" s="12"/>
      <c r="C831" s="12"/>
      <c r="D831" s="12"/>
      <c r="E831" s="12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customFormat="false" ht="15.75" hidden="false" customHeight="true" outlineLevel="0" collapsed="false">
      <c r="A832" s="12"/>
      <c r="B832" s="12"/>
      <c r="C832" s="12"/>
      <c r="D832" s="12"/>
      <c r="E832" s="12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customFormat="false" ht="15.75" hidden="false" customHeight="true" outlineLevel="0" collapsed="false">
      <c r="A833" s="12"/>
      <c r="B833" s="12"/>
      <c r="C833" s="12"/>
      <c r="D833" s="12"/>
      <c r="E833" s="12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customFormat="false" ht="15.75" hidden="false" customHeight="true" outlineLevel="0" collapsed="false">
      <c r="A834" s="12"/>
      <c r="B834" s="12"/>
      <c r="C834" s="12"/>
      <c r="D834" s="12"/>
      <c r="E834" s="12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customFormat="false" ht="15.75" hidden="false" customHeight="true" outlineLevel="0" collapsed="false">
      <c r="A835" s="12"/>
      <c r="B835" s="12"/>
      <c r="C835" s="12"/>
      <c r="D835" s="12"/>
      <c r="E835" s="12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customFormat="false" ht="15.75" hidden="false" customHeight="true" outlineLevel="0" collapsed="false">
      <c r="A836" s="12"/>
      <c r="B836" s="12"/>
      <c r="C836" s="12"/>
      <c r="D836" s="12"/>
      <c r="E836" s="12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customFormat="false" ht="15.75" hidden="false" customHeight="true" outlineLevel="0" collapsed="false">
      <c r="A837" s="12"/>
      <c r="B837" s="12"/>
      <c r="C837" s="12"/>
      <c r="D837" s="12"/>
      <c r="E837" s="12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customFormat="false" ht="15.75" hidden="false" customHeight="true" outlineLevel="0" collapsed="false">
      <c r="A838" s="12"/>
      <c r="B838" s="12"/>
      <c r="C838" s="12"/>
      <c r="D838" s="12"/>
      <c r="E838" s="12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customFormat="false" ht="15.75" hidden="false" customHeight="true" outlineLevel="0" collapsed="false">
      <c r="A839" s="12"/>
      <c r="B839" s="12"/>
      <c r="C839" s="12"/>
      <c r="D839" s="12"/>
      <c r="E839" s="12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customFormat="false" ht="15.75" hidden="false" customHeight="true" outlineLevel="0" collapsed="false">
      <c r="A840" s="12"/>
      <c r="B840" s="12"/>
      <c r="C840" s="12"/>
      <c r="D840" s="12"/>
      <c r="E840" s="12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customFormat="false" ht="15.75" hidden="false" customHeight="true" outlineLevel="0" collapsed="false">
      <c r="A841" s="12"/>
      <c r="B841" s="12"/>
      <c r="C841" s="12"/>
      <c r="D841" s="12"/>
      <c r="E841" s="12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customFormat="false" ht="15.75" hidden="false" customHeight="true" outlineLevel="0" collapsed="false">
      <c r="A842" s="12"/>
      <c r="B842" s="12"/>
      <c r="C842" s="12"/>
      <c r="D842" s="12"/>
      <c r="E842" s="12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customFormat="false" ht="15.75" hidden="false" customHeight="true" outlineLevel="0" collapsed="false">
      <c r="A843" s="12"/>
      <c r="B843" s="12"/>
      <c r="C843" s="12"/>
      <c r="D843" s="12"/>
      <c r="E843" s="12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customFormat="false" ht="15.75" hidden="false" customHeight="true" outlineLevel="0" collapsed="false">
      <c r="A844" s="12"/>
      <c r="B844" s="12"/>
      <c r="C844" s="12"/>
      <c r="D844" s="12"/>
      <c r="E844" s="12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customFormat="false" ht="15.75" hidden="false" customHeight="true" outlineLevel="0" collapsed="false">
      <c r="A845" s="12"/>
      <c r="B845" s="12"/>
      <c r="C845" s="12"/>
      <c r="D845" s="12"/>
      <c r="E845" s="12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customFormat="false" ht="15.75" hidden="false" customHeight="true" outlineLevel="0" collapsed="false">
      <c r="A846" s="12"/>
      <c r="B846" s="12"/>
      <c r="C846" s="12"/>
      <c r="D846" s="12"/>
      <c r="E846" s="12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customFormat="false" ht="15.75" hidden="false" customHeight="true" outlineLevel="0" collapsed="false">
      <c r="A847" s="12"/>
      <c r="B847" s="12"/>
      <c r="C847" s="12"/>
      <c r="D847" s="12"/>
      <c r="E847" s="12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customFormat="false" ht="15.75" hidden="false" customHeight="true" outlineLevel="0" collapsed="false">
      <c r="A848" s="12"/>
      <c r="B848" s="12"/>
      <c r="C848" s="12"/>
      <c r="D848" s="12"/>
      <c r="E848" s="12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customFormat="false" ht="15.75" hidden="false" customHeight="true" outlineLevel="0" collapsed="false">
      <c r="A849" s="12"/>
      <c r="B849" s="12"/>
      <c r="C849" s="12"/>
      <c r="D849" s="12"/>
      <c r="E849" s="12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customFormat="false" ht="15.75" hidden="false" customHeight="true" outlineLevel="0" collapsed="false">
      <c r="A850" s="12"/>
      <c r="B850" s="12"/>
      <c r="C850" s="12"/>
      <c r="D850" s="12"/>
      <c r="E850" s="12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customFormat="false" ht="15.75" hidden="false" customHeight="true" outlineLevel="0" collapsed="false">
      <c r="A851" s="12"/>
      <c r="B851" s="12"/>
      <c r="C851" s="12"/>
      <c r="D851" s="12"/>
      <c r="E851" s="12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customFormat="false" ht="15.75" hidden="false" customHeight="true" outlineLevel="0" collapsed="false">
      <c r="A852" s="12"/>
      <c r="B852" s="12"/>
      <c r="C852" s="12"/>
      <c r="D852" s="12"/>
      <c r="E852" s="12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customFormat="false" ht="15.75" hidden="false" customHeight="true" outlineLevel="0" collapsed="false">
      <c r="A853" s="12"/>
      <c r="B853" s="12"/>
      <c r="C853" s="12"/>
      <c r="D853" s="12"/>
      <c r="E853" s="12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customFormat="false" ht="15.75" hidden="false" customHeight="true" outlineLevel="0" collapsed="false">
      <c r="A854" s="12"/>
      <c r="B854" s="12"/>
      <c r="C854" s="12"/>
      <c r="D854" s="12"/>
      <c r="E854" s="12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customFormat="false" ht="15.75" hidden="false" customHeight="true" outlineLevel="0" collapsed="false">
      <c r="A855" s="12"/>
      <c r="B855" s="12"/>
      <c r="C855" s="12"/>
      <c r="D855" s="12"/>
      <c r="E855" s="12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customFormat="false" ht="15.75" hidden="false" customHeight="true" outlineLevel="0" collapsed="false">
      <c r="A856" s="12"/>
      <c r="B856" s="12"/>
      <c r="C856" s="12"/>
      <c r="D856" s="12"/>
      <c r="E856" s="12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customFormat="false" ht="15.75" hidden="false" customHeight="true" outlineLevel="0" collapsed="false">
      <c r="A857" s="12"/>
      <c r="B857" s="12"/>
      <c r="C857" s="12"/>
      <c r="D857" s="12"/>
      <c r="E857" s="12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customFormat="false" ht="15.75" hidden="false" customHeight="true" outlineLevel="0" collapsed="false">
      <c r="A858" s="12"/>
      <c r="B858" s="12"/>
      <c r="C858" s="12"/>
      <c r="D858" s="12"/>
      <c r="E858" s="12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customFormat="false" ht="15.75" hidden="false" customHeight="true" outlineLevel="0" collapsed="false">
      <c r="A859" s="12"/>
      <c r="B859" s="12"/>
      <c r="C859" s="12"/>
      <c r="D859" s="12"/>
      <c r="E859" s="12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customFormat="false" ht="15.75" hidden="false" customHeight="true" outlineLevel="0" collapsed="false">
      <c r="A860" s="12"/>
      <c r="B860" s="12"/>
      <c r="C860" s="12"/>
      <c r="D860" s="12"/>
      <c r="E860" s="12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customFormat="false" ht="15.75" hidden="false" customHeight="true" outlineLevel="0" collapsed="false">
      <c r="A861" s="12"/>
      <c r="B861" s="12"/>
      <c r="C861" s="12"/>
      <c r="D861" s="12"/>
      <c r="E861" s="12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customFormat="false" ht="15.75" hidden="false" customHeight="true" outlineLevel="0" collapsed="false">
      <c r="A862" s="12"/>
      <c r="B862" s="12"/>
      <c r="C862" s="12"/>
      <c r="D862" s="12"/>
      <c r="E862" s="12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customFormat="false" ht="15.75" hidden="false" customHeight="true" outlineLevel="0" collapsed="false">
      <c r="A863" s="12"/>
      <c r="B863" s="12"/>
      <c r="C863" s="12"/>
      <c r="D863" s="12"/>
      <c r="E863" s="12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customFormat="false" ht="15.75" hidden="false" customHeight="true" outlineLevel="0" collapsed="false">
      <c r="A864" s="12"/>
      <c r="B864" s="12"/>
      <c r="C864" s="12"/>
      <c r="D864" s="12"/>
      <c r="E864" s="12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customFormat="false" ht="15.75" hidden="false" customHeight="true" outlineLevel="0" collapsed="false">
      <c r="A865" s="12"/>
      <c r="B865" s="12"/>
      <c r="C865" s="12"/>
      <c r="D865" s="12"/>
      <c r="E865" s="12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customFormat="false" ht="15.75" hidden="false" customHeight="true" outlineLevel="0" collapsed="false">
      <c r="A866" s="12"/>
      <c r="B866" s="12"/>
      <c r="C866" s="12"/>
      <c r="D866" s="12"/>
      <c r="E866" s="12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customFormat="false" ht="15.75" hidden="false" customHeight="true" outlineLevel="0" collapsed="false">
      <c r="A867" s="12"/>
      <c r="B867" s="12"/>
      <c r="C867" s="12"/>
      <c r="D867" s="12"/>
      <c r="E867" s="12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customFormat="false" ht="15.75" hidden="false" customHeight="true" outlineLevel="0" collapsed="false">
      <c r="A868" s="12"/>
      <c r="B868" s="12"/>
      <c r="C868" s="12"/>
      <c r="D868" s="12"/>
      <c r="E868" s="12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customFormat="false" ht="15.75" hidden="false" customHeight="true" outlineLevel="0" collapsed="false">
      <c r="A869" s="12"/>
      <c r="B869" s="12"/>
      <c r="C869" s="12"/>
      <c r="D869" s="12"/>
      <c r="E869" s="12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customFormat="false" ht="15.75" hidden="false" customHeight="true" outlineLevel="0" collapsed="false">
      <c r="A870" s="12"/>
      <c r="B870" s="12"/>
      <c r="C870" s="12"/>
      <c r="D870" s="12"/>
      <c r="E870" s="12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customFormat="false" ht="15.75" hidden="false" customHeight="true" outlineLevel="0" collapsed="false">
      <c r="A871" s="12"/>
      <c r="B871" s="12"/>
      <c r="C871" s="12"/>
      <c r="D871" s="12"/>
      <c r="E871" s="12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customFormat="false" ht="15.75" hidden="false" customHeight="true" outlineLevel="0" collapsed="false">
      <c r="A872" s="12"/>
      <c r="B872" s="12"/>
      <c r="C872" s="12"/>
      <c r="D872" s="12"/>
      <c r="E872" s="12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customFormat="false" ht="15.75" hidden="false" customHeight="true" outlineLevel="0" collapsed="false">
      <c r="A873" s="12"/>
      <c r="B873" s="12"/>
      <c r="C873" s="12"/>
      <c r="D873" s="12"/>
      <c r="E873" s="12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customFormat="false" ht="15.75" hidden="false" customHeight="true" outlineLevel="0" collapsed="false">
      <c r="A874" s="12"/>
      <c r="B874" s="12"/>
      <c r="C874" s="12"/>
      <c r="D874" s="12"/>
      <c r="E874" s="12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customFormat="false" ht="15.75" hidden="false" customHeight="true" outlineLevel="0" collapsed="false">
      <c r="A875" s="12"/>
      <c r="B875" s="12"/>
      <c r="C875" s="12"/>
      <c r="D875" s="12"/>
      <c r="E875" s="12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customFormat="false" ht="15.75" hidden="false" customHeight="true" outlineLevel="0" collapsed="false">
      <c r="A876" s="12"/>
      <c r="B876" s="12"/>
      <c r="C876" s="12"/>
      <c r="D876" s="12"/>
      <c r="E876" s="12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customFormat="false" ht="15.75" hidden="false" customHeight="true" outlineLevel="0" collapsed="false">
      <c r="A877" s="12"/>
      <c r="B877" s="12"/>
      <c r="C877" s="12"/>
      <c r="D877" s="12"/>
      <c r="E877" s="12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customFormat="false" ht="15.75" hidden="false" customHeight="true" outlineLevel="0" collapsed="false">
      <c r="A878" s="12"/>
      <c r="B878" s="12"/>
      <c r="C878" s="12"/>
      <c r="D878" s="12"/>
      <c r="E878" s="12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customFormat="false" ht="15.75" hidden="false" customHeight="true" outlineLevel="0" collapsed="false">
      <c r="A879" s="12"/>
      <c r="B879" s="12"/>
      <c r="C879" s="12"/>
      <c r="D879" s="12"/>
      <c r="E879" s="12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customFormat="false" ht="15.75" hidden="false" customHeight="true" outlineLevel="0" collapsed="false">
      <c r="A880" s="12"/>
      <c r="B880" s="12"/>
      <c r="C880" s="12"/>
      <c r="D880" s="12"/>
      <c r="E880" s="12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customFormat="false" ht="15.75" hidden="false" customHeight="true" outlineLevel="0" collapsed="false">
      <c r="A881" s="12"/>
      <c r="B881" s="12"/>
      <c r="C881" s="12"/>
      <c r="D881" s="12"/>
      <c r="E881" s="12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customFormat="false" ht="15.75" hidden="false" customHeight="true" outlineLevel="0" collapsed="false">
      <c r="A882" s="12"/>
      <c r="B882" s="12"/>
      <c r="C882" s="12"/>
      <c r="D882" s="12"/>
      <c r="E882" s="12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customFormat="false" ht="15.75" hidden="false" customHeight="true" outlineLevel="0" collapsed="false">
      <c r="A883" s="12"/>
      <c r="B883" s="12"/>
      <c r="C883" s="12"/>
      <c r="D883" s="12"/>
      <c r="E883" s="12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customFormat="false" ht="15.75" hidden="false" customHeight="true" outlineLevel="0" collapsed="false">
      <c r="A884" s="12"/>
      <c r="B884" s="12"/>
      <c r="C884" s="12"/>
      <c r="D884" s="12"/>
      <c r="E884" s="12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customFormat="false" ht="15.75" hidden="false" customHeight="true" outlineLevel="0" collapsed="false">
      <c r="A885" s="12"/>
      <c r="B885" s="12"/>
      <c r="C885" s="12"/>
      <c r="D885" s="12"/>
      <c r="E885" s="12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customFormat="false" ht="15.75" hidden="false" customHeight="true" outlineLevel="0" collapsed="false">
      <c r="A886" s="12"/>
      <c r="B886" s="12"/>
      <c r="C886" s="12"/>
      <c r="D886" s="12"/>
      <c r="E886" s="12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customFormat="false" ht="15.75" hidden="false" customHeight="true" outlineLevel="0" collapsed="false">
      <c r="A887" s="12"/>
      <c r="B887" s="12"/>
      <c r="C887" s="12"/>
      <c r="D887" s="12"/>
      <c r="E887" s="12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customFormat="false" ht="15.75" hidden="false" customHeight="true" outlineLevel="0" collapsed="false">
      <c r="A888" s="12"/>
      <c r="B888" s="12"/>
      <c r="C888" s="12"/>
      <c r="D888" s="12"/>
      <c r="E888" s="12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customFormat="false" ht="15.75" hidden="false" customHeight="true" outlineLevel="0" collapsed="false">
      <c r="A889" s="12"/>
      <c r="B889" s="12"/>
      <c r="C889" s="12"/>
      <c r="D889" s="12"/>
      <c r="E889" s="12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customFormat="false" ht="15.75" hidden="false" customHeight="true" outlineLevel="0" collapsed="false">
      <c r="A890" s="12"/>
      <c r="B890" s="12"/>
      <c r="C890" s="12"/>
      <c r="D890" s="12"/>
      <c r="E890" s="12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customFormat="false" ht="15.75" hidden="false" customHeight="true" outlineLevel="0" collapsed="false">
      <c r="A891" s="12"/>
      <c r="B891" s="12"/>
      <c r="C891" s="12"/>
      <c r="D891" s="12"/>
      <c r="E891" s="12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customFormat="false" ht="15.75" hidden="false" customHeight="true" outlineLevel="0" collapsed="false">
      <c r="A892" s="12"/>
      <c r="B892" s="12"/>
      <c r="C892" s="12"/>
      <c r="D892" s="12"/>
      <c r="E892" s="12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customFormat="false" ht="15.75" hidden="false" customHeight="true" outlineLevel="0" collapsed="false">
      <c r="A893" s="12"/>
      <c r="B893" s="12"/>
      <c r="C893" s="12"/>
      <c r="D893" s="12"/>
      <c r="E893" s="12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customFormat="false" ht="15.75" hidden="false" customHeight="true" outlineLevel="0" collapsed="false">
      <c r="A894" s="12"/>
      <c r="B894" s="12"/>
      <c r="C894" s="12"/>
      <c r="D894" s="12"/>
      <c r="E894" s="12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customFormat="false" ht="15.75" hidden="false" customHeight="true" outlineLevel="0" collapsed="false">
      <c r="A895" s="12"/>
      <c r="B895" s="12"/>
      <c r="C895" s="12"/>
      <c r="D895" s="12"/>
      <c r="E895" s="12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customFormat="false" ht="15.75" hidden="false" customHeight="true" outlineLevel="0" collapsed="false">
      <c r="A896" s="12"/>
      <c r="B896" s="12"/>
      <c r="C896" s="12"/>
      <c r="D896" s="12"/>
      <c r="E896" s="12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customFormat="false" ht="15.75" hidden="false" customHeight="true" outlineLevel="0" collapsed="false">
      <c r="A897" s="12"/>
      <c r="B897" s="12"/>
      <c r="C897" s="12"/>
      <c r="D897" s="12"/>
      <c r="E897" s="12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customFormat="false" ht="15.75" hidden="false" customHeight="true" outlineLevel="0" collapsed="false">
      <c r="A898" s="12"/>
      <c r="B898" s="12"/>
      <c r="C898" s="12"/>
      <c r="D898" s="12"/>
      <c r="E898" s="12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customFormat="false" ht="15.75" hidden="false" customHeight="true" outlineLevel="0" collapsed="false">
      <c r="A899" s="12"/>
      <c r="B899" s="12"/>
      <c r="C899" s="12"/>
      <c r="D899" s="12"/>
      <c r="E899" s="12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customFormat="false" ht="15.75" hidden="false" customHeight="true" outlineLevel="0" collapsed="false">
      <c r="A900" s="12"/>
      <c r="B900" s="12"/>
      <c r="C900" s="12"/>
      <c r="D900" s="12"/>
      <c r="E900" s="12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customFormat="false" ht="15.75" hidden="false" customHeight="true" outlineLevel="0" collapsed="false">
      <c r="A901" s="12"/>
      <c r="B901" s="12"/>
      <c r="C901" s="12"/>
      <c r="D901" s="12"/>
      <c r="E901" s="12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customFormat="false" ht="15.75" hidden="false" customHeight="true" outlineLevel="0" collapsed="false">
      <c r="A902" s="12"/>
      <c r="B902" s="12"/>
      <c r="C902" s="12"/>
      <c r="D902" s="12"/>
      <c r="E902" s="12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customFormat="false" ht="15.75" hidden="false" customHeight="true" outlineLevel="0" collapsed="false">
      <c r="A903" s="12"/>
      <c r="B903" s="12"/>
      <c r="C903" s="12"/>
      <c r="D903" s="12"/>
      <c r="E903" s="12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customFormat="false" ht="15.75" hidden="false" customHeight="true" outlineLevel="0" collapsed="false">
      <c r="A904" s="12"/>
      <c r="B904" s="12"/>
      <c r="C904" s="12"/>
      <c r="D904" s="12"/>
      <c r="E904" s="12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customFormat="false" ht="15.75" hidden="false" customHeight="true" outlineLevel="0" collapsed="false">
      <c r="A905" s="12"/>
      <c r="B905" s="12"/>
      <c r="C905" s="12"/>
      <c r="D905" s="12"/>
      <c r="E905" s="12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customFormat="false" ht="15.75" hidden="false" customHeight="true" outlineLevel="0" collapsed="false">
      <c r="A906" s="12"/>
      <c r="B906" s="12"/>
      <c r="C906" s="12"/>
      <c r="D906" s="12"/>
      <c r="E906" s="12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customFormat="false" ht="15.75" hidden="false" customHeight="true" outlineLevel="0" collapsed="false">
      <c r="A907" s="12"/>
      <c r="B907" s="12"/>
      <c r="C907" s="12"/>
      <c r="D907" s="12"/>
      <c r="E907" s="12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customFormat="false" ht="15.75" hidden="false" customHeight="true" outlineLevel="0" collapsed="false">
      <c r="A908" s="12"/>
      <c r="B908" s="12"/>
      <c r="C908" s="12"/>
      <c r="D908" s="12"/>
      <c r="E908" s="12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customFormat="false" ht="15.75" hidden="false" customHeight="true" outlineLevel="0" collapsed="false">
      <c r="A909" s="12"/>
      <c r="B909" s="12"/>
      <c r="C909" s="12"/>
      <c r="D909" s="12"/>
      <c r="E909" s="12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customFormat="false" ht="15.75" hidden="false" customHeight="true" outlineLevel="0" collapsed="false">
      <c r="A910" s="12"/>
      <c r="B910" s="12"/>
      <c r="C910" s="12"/>
      <c r="D910" s="12"/>
      <c r="E910" s="12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customFormat="false" ht="15.75" hidden="false" customHeight="true" outlineLevel="0" collapsed="false">
      <c r="A911" s="12"/>
      <c r="B911" s="12"/>
      <c r="C911" s="12"/>
      <c r="D911" s="12"/>
      <c r="E911" s="12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customFormat="false" ht="15.75" hidden="false" customHeight="true" outlineLevel="0" collapsed="false">
      <c r="A912" s="12"/>
      <c r="B912" s="12"/>
      <c r="C912" s="12"/>
      <c r="D912" s="12"/>
      <c r="E912" s="12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customFormat="false" ht="15.75" hidden="false" customHeight="true" outlineLevel="0" collapsed="false">
      <c r="A913" s="12"/>
      <c r="B913" s="12"/>
      <c r="C913" s="12"/>
      <c r="D913" s="12"/>
      <c r="E913" s="12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customFormat="false" ht="15.75" hidden="false" customHeight="true" outlineLevel="0" collapsed="false">
      <c r="A914" s="12"/>
      <c r="B914" s="12"/>
      <c r="C914" s="12"/>
      <c r="D914" s="12"/>
      <c r="E914" s="12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customFormat="false" ht="15.75" hidden="false" customHeight="true" outlineLevel="0" collapsed="false">
      <c r="A915" s="12"/>
      <c r="B915" s="12"/>
      <c r="C915" s="12"/>
      <c r="D915" s="12"/>
      <c r="E915" s="12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customFormat="false" ht="15.75" hidden="false" customHeight="true" outlineLevel="0" collapsed="false">
      <c r="A916" s="12"/>
      <c r="B916" s="12"/>
      <c r="C916" s="12"/>
      <c r="D916" s="12"/>
      <c r="E916" s="12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customFormat="false" ht="15.75" hidden="false" customHeight="true" outlineLevel="0" collapsed="false">
      <c r="A917" s="12"/>
      <c r="B917" s="12"/>
      <c r="C917" s="12"/>
      <c r="D917" s="12"/>
      <c r="E917" s="12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customFormat="false" ht="15.75" hidden="false" customHeight="true" outlineLevel="0" collapsed="false">
      <c r="A918" s="12"/>
      <c r="B918" s="12"/>
      <c r="C918" s="12"/>
      <c r="D918" s="12"/>
      <c r="E918" s="12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customFormat="false" ht="15.75" hidden="false" customHeight="true" outlineLevel="0" collapsed="false">
      <c r="A919" s="12"/>
      <c r="B919" s="12"/>
      <c r="C919" s="12"/>
      <c r="D919" s="12"/>
      <c r="E919" s="12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customFormat="false" ht="15.75" hidden="false" customHeight="true" outlineLevel="0" collapsed="false">
      <c r="A920" s="12"/>
      <c r="B920" s="12"/>
      <c r="C920" s="12"/>
      <c r="D920" s="12"/>
      <c r="E920" s="12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customFormat="false" ht="15.75" hidden="false" customHeight="true" outlineLevel="0" collapsed="false">
      <c r="A921" s="12"/>
      <c r="B921" s="12"/>
      <c r="C921" s="12"/>
      <c r="D921" s="12"/>
      <c r="E921" s="12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customFormat="false" ht="15.75" hidden="false" customHeight="true" outlineLevel="0" collapsed="false">
      <c r="A922" s="12"/>
      <c r="B922" s="12"/>
      <c r="C922" s="12"/>
      <c r="D922" s="12"/>
      <c r="E922" s="12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customFormat="false" ht="15.75" hidden="false" customHeight="true" outlineLevel="0" collapsed="false">
      <c r="A923" s="12"/>
      <c r="B923" s="12"/>
      <c r="C923" s="12"/>
      <c r="D923" s="12"/>
      <c r="E923" s="12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customFormat="false" ht="15.75" hidden="false" customHeight="true" outlineLevel="0" collapsed="false">
      <c r="A924" s="12"/>
      <c r="B924" s="12"/>
      <c r="C924" s="12"/>
      <c r="D924" s="12"/>
      <c r="E924" s="12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customFormat="false" ht="15.75" hidden="false" customHeight="true" outlineLevel="0" collapsed="false">
      <c r="A925" s="12"/>
      <c r="B925" s="12"/>
      <c r="C925" s="12"/>
      <c r="D925" s="12"/>
      <c r="E925" s="12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customFormat="false" ht="15.75" hidden="false" customHeight="true" outlineLevel="0" collapsed="false">
      <c r="A926" s="12"/>
      <c r="B926" s="12"/>
      <c r="C926" s="12"/>
      <c r="D926" s="12"/>
      <c r="E926" s="12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customFormat="false" ht="15.75" hidden="false" customHeight="true" outlineLevel="0" collapsed="false">
      <c r="A927" s="12"/>
      <c r="B927" s="12"/>
      <c r="C927" s="12"/>
      <c r="D927" s="12"/>
      <c r="E927" s="12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customFormat="false" ht="15.75" hidden="false" customHeight="true" outlineLevel="0" collapsed="false">
      <c r="A928" s="12"/>
      <c r="B928" s="12"/>
      <c r="C928" s="12"/>
      <c r="D928" s="12"/>
      <c r="E928" s="12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customFormat="false" ht="15.75" hidden="false" customHeight="true" outlineLevel="0" collapsed="false">
      <c r="A929" s="12"/>
      <c r="B929" s="12"/>
      <c r="C929" s="12"/>
      <c r="D929" s="12"/>
      <c r="E929" s="12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customFormat="false" ht="15.75" hidden="false" customHeight="true" outlineLevel="0" collapsed="false">
      <c r="A930" s="12"/>
      <c r="B930" s="12"/>
      <c r="C930" s="12"/>
      <c r="D930" s="12"/>
      <c r="E930" s="12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customFormat="false" ht="15.75" hidden="false" customHeight="true" outlineLevel="0" collapsed="false">
      <c r="A931" s="12"/>
      <c r="B931" s="12"/>
      <c r="C931" s="12"/>
      <c r="D931" s="12"/>
      <c r="E931" s="12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customFormat="false" ht="15.75" hidden="false" customHeight="true" outlineLevel="0" collapsed="false">
      <c r="A932" s="12"/>
      <c r="B932" s="12"/>
      <c r="C932" s="12"/>
      <c r="D932" s="12"/>
      <c r="E932" s="12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customFormat="false" ht="15.75" hidden="false" customHeight="true" outlineLevel="0" collapsed="false">
      <c r="A933" s="12"/>
      <c r="B933" s="12"/>
      <c r="C933" s="12"/>
      <c r="D933" s="12"/>
      <c r="E933" s="12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customFormat="false" ht="15.75" hidden="false" customHeight="true" outlineLevel="0" collapsed="false">
      <c r="A934" s="12"/>
      <c r="B934" s="12"/>
      <c r="C934" s="12"/>
      <c r="D934" s="12"/>
      <c r="E934" s="12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customFormat="false" ht="15.75" hidden="false" customHeight="true" outlineLevel="0" collapsed="false">
      <c r="A935" s="12"/>
      <c r="B935" s="12"/>
      <c r="C935" s="12"/>
      <c r="D935" s="12"/>
      <c r="E935" s="12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customFormat="false" ht="15.75" hidden="false" customHeight="true" outlineLevel="0" collapsed="false">
      <c r="A936" s="12"/>
      <c r="B936" s="12"/>
      <c r="C936" s="12"/>
      <c r="D936" s="12"/>
      <c r="E936" s="12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customFormat="false" ht="15.75" hidden="false" customHeight="true" outlineLevel="0" collapsed="false">
      <c r="A937" s="12"/>
      <c r="B937" s="12"/>
      <c r="C937" s="12"/>
      <c r="D937" s="12"/>
      <c r="E937" s="12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customFormat="false" ht="15.75" hidden="false" customHeight="true" outlineLevel="0" collapsed="false">
      <c r="A938" s="12"/>
      <c r="B938" s="12"/>
      <c r="C938" s="12"/>
      <c r="D938" s="12"/>
      <c r="E938" s="12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customFormat="false" ht="15.75" hidden="false" customHeight="true" outlineLevel="0" collapsed="false">
      <c r="A939" s="12"/>
      <c r="B939" s="12"/>
      <c r="C939" s="12"/>
      <c r="D939" s="12"/>
      <c r="E939" s="12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customFormat="false" ht="15.75" hidden="false" customHeight="true" outlineLevel="0" collapsed="false">
      <c r="A940" s="12"/>
      <c r="B940" s="12"/>
      <c r="C940" s="12"/>
      <c r="D940" s="12"/>
      <c r="E940" s="12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customFormat="false" ht="15.75" hidden="false" customHeight="true" outlineLevel="0" collapsed="false">
      <c r="A941" s="12"/>
      <c r="B941" s="12"/>
      <c r="C941" s="12"/>
      <c r="D941" s="12"/>
      <c r="E941" s="12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customFormat="false" ht="15.75" hidden="false" customHeight="true" outlineLevel="0" collapsed="false">
      <c r="A942" s="12"/>
      <c r="B942" s="12"/>
      <c r="C942" s="12"/>
      <c r="D942" s="12"/>
      <c r="E942" s="12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customFormat="false" ht="15.75" hidden="false" customHeight="true" outlineLevel="0" collapsed="false">
      <c r="A943" s="12"/>
      <c r="B943" s="12"/>
      <c r="C943" s="12"/>
      <c r="D943" s="12"/>
      <c r="E943" s="12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customFormat="false" ht="15.75" hidden="false" customHeight="true" outlineLevel="0" collapsed="false">
      <c r="A944" s="12"/>
      <c r="B944" s="12"/>
      <c r="C944" s="12"/>
      <c r="D944" s="12"/>
      <c r="E944" s="12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customFormat="false" ht="15.75" hidden="false" customHeight="true" outlineLevel="0" collapsed="false">
      <c r="A945" s="12"/>
      <c r="B945" s="12"/>
      <c r="C945" s="12"/>
      <c r="D945" s="12"/>
      <c r="E945" s="12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customFormat="false" ht="15.75" hidden="false" customHeight="true" outlineLevel="0" collapsed="false">
      <c r="A946" s="12"/>
      <c r="B946" s="12"/>
      <c r="C946" s="12"/>
      <c r="D946" s="12"/>
      <c r="E946" s="12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customFormat="false" ht="15.75" hidden="false" customHeight="true" outlineLevel="0" collapsed="false">
      <c r="A947" s="12"/>
      <c r="B947" s="12"/>
      <c r="C947" s="12"/>
      <c r="D947" s="12"/>
      <c r="E947" s="12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customFormat="false" ht="15.75" hidden="false" customHeight="true" outlineLevel="0" collapsed="false">
      <c r="A948" s="12"/>
      <c r="B948" s="12"/>
      <c r="C948" s="12"/>
      <c r="D948" s="12"/>
      <c r="E948" s="12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customFormat="false" ht="15.75" hidden="false" customHeight="true" outlineLevel="0" collapsed="false">
      <c r="A949" s="12"/>
      <c r="B949" s="12"/>
      <c r="C949" s="12"/>
      <c r="D949" s="12"/>
      <c r="E949" s="12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customFormat="false" ht="15.75" hidden="false" customHeight="true" outlineLevel="0" collapsed="false">
      <c r="A950" s="12"/>
      <c r="B950" s="12"/>
      <c r="C950" s="12"/>
      <c r="D950" s="12"/>
      <c r="E950" s="12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customFormat="false" ht="15.75" hidden="false" customHeight="true" outlineLevel="0" collapsed="false">
      <c r="A951" s="12"/>
      <c r="B951" s="12"/>
      <c r="C951" s="12"/>
      <c r="D951" s="12"/>
      <c r="E951" s="12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customFormat="false" ht="15.75" hidden="false" customHeight="true" outlineLevel="0" collapsed="false">
      <c r="A952" s="12"/>
      <c r="B952" s="12"/>
      <c r="C952" s="12"/>
      <c r="D952" s="12"/>
      <c r="E952" s="12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customFormat="false" ht="15.75" hidden="false" customHeight="true" outlineLevel="0" collapsed="false">
      <c r="A953" s="12"/>
      <c r="B953" s="12"/>
      <c r="C953" s="12"/>
      <c r="D953" s="12"/>
      <c r="E953" s="12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customFormat="false" ht="15.75" hidden="false" customHeight="true" outlineLevel="0" collapsed="false">
      <c r="A954" s="12"/>
      <c r="B954" s="12"/>
      <c r="C954" s="12"/>
      <c r="D954" s="12"/>
      <c r="E954" s="12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customFormat="false" ht="15.75" hidden="false" customHeight="true" outlineLevel="0" collapsed="false">
      <c r="A955" s="12"/>
      <c r="B955" s="12"/>
      <c r="C955" s="12"/>
      <c r="D955" s="12"/>
      <c r="E955" s="12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customFormat="false" ht="15.75" hidden="false" customHeight="true" outlineLevel="0" collapsed="false">
      <c r="A956" s="12"/>
      <c r="B956" s="12"/>
      <c r="C956" s="12"/>
      <c r="D956" s="12"/>
      <c r="E956" s="12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customFormat="false" ht="15.75" hidden="false" customHeight="true" outlineLevel="0" collapsed="false">
      <c r="A957" s="12"/>
      <c r="B957" s="12"/>
      <c r="C957" s="12"/>
      <c r="D957" s="12"/>
      <c r="E957" s="12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customFormat="false" ht="15.75" hidden="false" customHeight="true" outlineLevel="0" collapsed="false">
      <c r="A958" s="12"/>
      <c r="B958" s="12"/>
      <c r="C958" s="12"/>
      <c r="D958" s="12"/>
      <c r="E958" s="12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customFormat="false" ht="15.75" hidden="false" customHeight="true" outlineLevel="0" collapsed="false">
      <c r="A959" s="12"/>
      <c r="B959" s="12"/>
      <c r="C959" s="12"/>
      <c r="D959" s="12"/>
      <c r="E959" s="12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customFormat="false" ht="15.75" hidden="false" customHeight="true" outlineLevel="0" collapsed="false">
      <c r="A960" s="12"/>
      <c r="B960" s="12"/>
      <c r="C960" s="12"/>
      <c r="D960" s="12"/>
      <c r="E960" s="12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customFormat="false" ht="15.75" hidden="false" customHeight="true" outlineLevel="0" collapsed="false">
      <c r="A961" s="12"/>
      <c r="B961" s="12"/>
      <c r="C961" s="12"/>
      <c r="D961" s="12"/>
      <c r="E961" s="12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customFormat="false" ht="15.75" hidden="false" customHeight="true" outlineLevel="0" collapsed="false">
      <c r="A962" s="12"/>
      <c r="B962" s="12"/>
      <c r="C962" s="12"/>
      <c r="D962" s="12"/>
      <c r="E962" s="12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customFormat="false" ht="15.75" hidden="false" customHeight="true" outlineLevel="0" collapsed="false">
      <c r="A963" s="12"/>
      <c r="B963" s="12"/>
      <c r="C963" s="12"/>
      <c r="D963" s="12"/>
      <c r="E963" s="12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customFormat="false" ht="15.75" hidden="false" customHeight="true" outlineLevel="0" collapsed="false">
      <c r="A964" s="12"/>
      <c r="B964" s="12"/>
      <c r="C964" s="12"/>
      <c r="D964" s="12"/>
      <c r="E964" s="12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customFormat="false" ht="15.75" hidden="false" customHeight="true" outlineLevel="0" collapsed="false">
      <c r="A965" s="12"/>
      <c r="B965" s="12"/>
      <c r="C965" s="12"/>
      <c r="D965" s="12"/>
      <c r="E965" s="12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customFormat="false" ht="15.75" hidden="false" customHeight="true" outlineLevel="0" collapsed="false">
      <c r="A966" s="12"/>
      <c r="B966" s="12"/>
      <c r="C966" s="12"/>
      <c r="D966" s="12"/>
      <c r="E966" s="12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customFormat="false" ht="15.75" hidden="false" customHeight="true" outlineLevel="0" collapsed="false">
      <c r="A967" s="12"/>
      <c r="B967" s="12"/>
      <c r="C967" s="12"/>
      <c r="D967" s="12"/>
      <c r="E967" s="12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customFormat="false" ht="15.75" hidden="false" customHeight="true" outlineLevel="0" collapsed="false">
      <c r="A968" s="12"/>
      <c r="B968" s="12"/>
      <c r="C968" s="12"/>
      <c r="D968" s="12"/>
      <c r="E968" s="12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customFormat="false" ht="15.75" hidden="false" customHeight="true" outlineLevel="0" collapsed="false">
      <c r="A969" s="12"/>
      <c r="B969" s="12"/>
      <c r="C969" s="12"/>
      <c r="D969" s="12"/>
      <c r="E969" s="12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customFormat="false" ht="15.75" hidden="false" customHeight="true" outlineLevel="0" collapsed="false">
      <c r="A970" s="12"/>
      <c r="B970" s="12"/>
      <c r="C970" s="12"/>
      <c r="D970" s="12"/>
      <c r="E970" s="12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customFormat="false" ht="15.75" hidden="false" customHeight="true" outlineLevel="0" collapsed="false">
      <c r="A971" s="12"/>
      <c r="B971" s="12"/>
      <c r="C971" s="12"/>
      <c r="D971" s="12"/>
      <c r="E971" s="12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customFormat="false" ht="15.75" hidden="false" customHeight="true" outlineLevel="0" collapsed="false">
      <c r="A972" s="12"/>
      <c r="B972" s="12"/>
      <c r="C972" s="12"/>
      <c r="D972" s="12"/>
      <c r="E972" s="12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customFormat="false" ht="15.75" hidden="false" customHeight="true" outlineLevel="0" collapsed="false">
      <c r="A973" s="12"/>
      <c r="B973" s="12"/>
      <c r="C973" s="12"/>
      <c r="D973" s="12"/>
      <c r="E973" s="12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customFormat="false" ht="15.75" hidden="false" customHeight="true" outlineLevel="0" collapsed="false">
      <c r="A974" s="12"/>
      <c r="B974" s="12"/>
      <c r="C974" s="12"/>
      <c r="D974" s="12"/>
      <c r="E974" s="12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customFormat="false" ht="15.75" hidden="false" customHeight="true" outlineLevel="0" collapsed="false">
      <c r="A975" s="12"/>
      <c r="B975" s="12"/>
      <c r="C975" s="12"/>
      <c r="D975" s="12"/>
      <c r="E975" s="12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customFormat="false" ht="15.75" hidden="false" customHeight="true" outlineLevel="0" collapsed="false">
      <c r="A976" s="12"/>
      <c r="B976" s="12"/>
      <c r="C976" s="12"/>
      <c r="D976" s="12"/>
      <c r="E976" s="12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customFormat="false" ht="15.75" hidden="false" customHeight="true" outlineLevel="0" collapsed="false">
      <c r="A977" s="12"/>
      <c r="B977" s="12"/>
      <c r="C977" s="12"/>
      <c r="D977" s="12"/>
      <c r="E977" s="12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customFormat="false" ht="15.75" hidden="false" customHeight="true" outlineLevel="0" collapsed="false">
      <c r="A978" s="12"/>
      <c r="B978" s="12"/>
      <c r="C978" s="12"/>
      <c r="D978" s="12"/>
      <c r="E978" s="12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customFormat="false" ht="15.75" hidden="false" customHeight="true" outlineLevel="0" collapsed="false">
      <c r="A979" s="12"/>
      <c r="B979" s="12"/>
      <c r="C979" s="12"/>
      <c r="D979" s="12"/>
      <c r="E979" s="12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customFormat="false" ht="15.75" hidden="false" customHeight="true" outlineLevel="0" collapsed="false">
      <c r="A980" s="12"/>
      <c r="B980" s="12"/>
      <c r="C980" s="12"/>
      <c r="D980" s="12"/>
      <c r="E980" s="12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customFormat="false" ht="15.75" hidden="false" customHeight="true" outlineLevel="0" collapsed="false">
      <c r="A981" s="12"/>
      <c r="B981" s="12"/>
      <c r="C981" s="12"/>
      <c r="D981" s="12"/>
      <c r="E981" s="12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customFormat="false" ht="15.75" hidden="false" customHeight="true" outlineLevel="0" collapsed="false">
      <c r="A982" s="12"/>
      <c r="B982" s="12"/>
      <c r="C982" s="12"/>
      <c r="D982" s="12"/>
      <c r="E982" s="12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customFormat="false" ht="15.75" hidden="false" customHeight="true" outlineLevel="0" collapsed="false">
      <c r="A983" s="12"/>
      <c r="B983" s="12"/>
      <c r="C983" s="12"/>
      <c r="D983" s="12"/>
      <c r="E983" s="12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customFormat="false" ht="15.75" hidden="false" customHeight="true" outlineLevel="0" collapsed="false">
      <c r="A984" s="12"/>
      <c r="B984" s="12"/>
      <c r="C984" s="12"/>
      <c r="D984" s="12"/>
      <c r="E984" s="12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customFormat="false" ht="15.75" hidden="false" customHeight="true" outlineLevel="0" collapsed="false">
      <c r="A985" s="12"/>
      <c r="B985" s="12"/>
      <c r="C985" s="12"/>
      <c r="D985" s="12"/>
      <c r="E985" s="12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customFormat="false" ht="15.75" hidden="false" customHeight="true" outlineLevel="0" collapsed="false">
      <c r="A986" s="12"/>
      <c r="B986" s="12"/>
      <c r="C986" s="12"/>
      <c r="D986" s="12"/>
      <c r="E986" s="12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customFormat="false" ht="15.75" hidden="false" customHeight="true" outlineLevel="0" collapsed="false">
      <c r="A987" s="12"/>
      <c r="B987" s="12"/>
      <c r="C987" s="12"/>
      <c r="D987" s="12"/>
      <c r="E987" s="12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customFormat="false" ht="15.75" hidden="false" customHeight="true" outlineLevel="0" collapsed="false">
      <c r="A988" s="12"/>
      <c r="B988" s="12"/>
      <c r="C988" s="12"/>
      <c r="D988" s="12"/>
      <c r="E988" s="12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customFormat="false" ht="15.75" hidden="false" customHeight="true" outlineLevel="0" collapsed="false">
      <c r="A989" s="12"/>
      <c r="B989" s="12"/>
      <c r="C989" s="12"/>
      <c r="D989" s="12"/>
      <c r="E989" s="12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customFormat="false" ht="15.75" hidden="false" customHeight="true" outlineLevel="0" collapsed="false">
      <c r="A990" s="12"/>
      <c r="B990" s="12"/>
      <c r="C990" s="12"/>
      <c r="D990" s="12"/>
      <c r="E990" s="12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customFormat="false" ht="15.75" hidden="false" customHeight="true" outlineLevel="0" collapsed="false">
      <c r="A991" s="12"/>
      <c r="B991" s="12"/>
      <c r="C991" s="12"/>
      <c r="D991" s="12"/>
      <c r="E991" s="12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customFormat="false" ht="15.75" hidden="false" customHeight="true" outlineLevel="0" collapsed="false">
      <c r="A992" s="12"/>
      <c r="B992" s="12"/>
      <c r="C992" s="12"/>
      <c r="D992" s="12"/>
      <c r="E992" s="12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customFormat="false" ht="15.75" hidden="false" customHeight="true" outlineLevel="0" collapsed="false">
      <c r="A993" s="12"/>
      <c r="B993" s="12"/>
      <c r="C993" s="12"/>
      <c r="D993" s="12"/>
      <c r="E993" s="12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customFormat="false" ht="15.75" hidden="false" customHeight="true" outlineLevel="0" collapsed="false">
      <c r="A994" s="12"/>
      <c r="B994" s="12"/>
      <c r="C994" s="12"/>
      <c r="D994" s="12"/>
      <c r="E994" s="12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customFormat="false" ht="15.75" hidden="false" customHeight="true" outlineLevel="0" collapsed="false">
      <c r="A995" s="12"/>
      <c r="B995" s="12"/>
      <c r="C995" s="12"/>
      <c r="D995" s="12"/>
      <c r="E995" s="12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customFormat="false" ht="15.75" hidden="false" customHeight="true" outlineLevel="0" collapsed="false">
      <c r="A996" s="12"/>
      <c r="B996" s="12"/>
      <c r="C996" s="12"/>
      <c r="D996" s="12"/>
      <c r="E996" s="12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customFormat="false" ht="15.75" hidden="false" customHeight="true" outlineLevel="0" collapsed="false">
      <c r="A997" s="12"/>
      <c r="B997" s="12"/>
      <c r="C997" s="12"/>
      <c r="D997" s="12"/>
      <c r="E997" s="12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customFormat="false" ht="15.75" hidden="false" customHeight="true" outlineLevel="0" collapsed="false">
      <c r="A998" s="12"/>
      <c r="B998" s="12"/>
      <c r="C998" s="12"/>
      <c r="D998" s="12"/>
      <c r="E998" s="12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customFormat="false" ht="15.75" hidden="false" customHeight="true" outlineLevel="0" collapsed="false">
      <c r="A999" s="12"/>
      <c r="B999" s="12"/>
      <c r="C999" s="12"/>
      <c r="D999" s="12"/>
      <c r="E999" s="12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customFormat="false" ht="15.75" hidden="false" customHeight="true" outlineLevel="0" collapsed="false">
      <c r="A1000" s="12"/>
      <c r="B1000" s="12"/>
      <c r="C1000" s="12"/>
      <c r="D1000" s="12"/>
      <c r="E1000" s="12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  <row r="1001" customFormat="false" ht="15.75" hidden="false" customHeight="true" outlineLevel="0" collapsed="false">
      <c r="A1001" s="12"/>
      <c r="B1001" s="12"/>
      <c r="C1001" s="12"/>
      <c r="D1001" s="12"/>
      <c r="E1001" s="12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</row>
    <row r="1002" customFormat="false" ht="15.75" hidden="false" customHeight="true" outlineLevel="0" collapsed="false">
      <c r="A1002" s="12"/>
      <c r="B1002" s="12"/>
      <c r="C1002" s="12"/>
      <c r="D1002" s="12"/>
      <c r="E1002" s="12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</row>
    <row r="1003" customFormat="false" ht="15.75" hidden="false" customHeight="true" outlineLevel="0" collapsed="false">
      <c r="A1003" s="12"/>
      <c r="B1003" s="12"/>
      <c r="C1003" s="12"/>
      <c r="D1003" s="12"/>
      <c r="E1003" s="12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</row>
    <row r="1004" customFormat="false" ht="15.75" hidden="false" customHeight="true" outlineLevel="0" collapsed="false">
      <c r="A1004" s="12"/>
      <c r="B1004" s="12"/>
      <c r="C1004" s="12"/>
      <c r="D1004" s="12"/>
      <c r="E1004" s="12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</row>
    <row r="1005" customFormat="false" ht="15.75" hidden="false" customHeight="true" outlineLevel="0" collapsed="false">
      <c r="A1005" s="12"/>
      <c r="B1005" s="12"/>
      <c r="C1005" s="12"/>
      <c r="D1005" s="12"/>
      <c r="E1005" s="12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</row>
    <row r="1006" customFormat="false" ht="15.75" hidden="false" customHeight="true" outlineLevel="0" collapsed="false">
      <c r="A1006" s="12"/>
      <c r="B1006" s="12"/>
      <c r="C1006" s="12"/>
      <c r="D1006" s="12"/>
      <c r="E1006" s="12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</row>
    <row r="1007" customFormat="false" ht="15.75" hidden="false" customHeight="true" outlineLevel="0" collapsed="false">
      <c r="A1007" s="12"/>
      <c r="B1007" s="12"/>
      <c r="C1007" s="12"/>
      <c r="D1007" s="12"/>
      <c r="E1007" s="12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</row>
    <row r="1008" customFormat="false" ht="15.75" hidden="false" customHeight="true" outlineLevel="0" collapsed="false">
      <c r="A1008" s="12"/>
      <c r="B1008" s="12"/>
      <c r="C1008" s="12"/>
      <c r="D1008" s="12"/>
      <c r="E1008" s="12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</row>
    <row r="1009" customFormat="false" ht="15.75" hidden="false" customHeight="true" outlineLevel="0" collapsed="false">
      <c r="A1009" s="12"/>
      <c r="B1009" s="12"/>
      <c r="C1009" s="12"/>
      <c r="D1009" s="12"/>
      <c r="E1009" s="12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</row>
    <row r="1010" customFormat="false" ht="15.75" hidden="false" customHeight="true" outlineLevel="0" collapsed="false">
      <c r="A1010" s="12"/>
      <c r="B1010" s="12"/>
      <c r="C1010" s="12"/>
      <c r="D1010" s="12"/>
      <c r="E1010" s="12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</row>
    <row r="1011" customFormat="false" ht="15.75" hidden="false" customHeight="true" outlineLevel="0" collapsed="false">
      <c r="A1011" s="12"/>
      <c r="B1011" s="12"/>
      <c r="C1011" s="12"/>
      <c r="D1011" s="12"/>
      <c r="E1011" s="12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</row>
    <row r="1012" customFormat="false" ht="15.75" hidden="false" customHeight="true" outlineLevel="0" collapsed="false">
      <c r="A1012" s="12"/>
      <c r="B1012" s="12"/>
      <c r="C1012" s="12"/>
      <c r="D1012" s="12"/>
      <c r="E1012" s="12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</row>
    <row r="1013" customFormat="false" ht="15.75" hidden="false" customHeight="true" outlineLevel="0" collapsed="false">
      <c r="A1013" s="12"/>
      <c r="B1013" s="12"/>
      <c r="C1013" s="12"/>
      <c r="D1013" s="12"/>
      <c r="E1013" s="12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</row>
    <row r="1014" customFormat="false" ht="15.75" hidden="false" customHeight="true" outlineLevel="0" collapsed="false">
      <c r="A1014" s="12"/>
      <c r="B1014" s="12"/>
      <c r="C1014" s="12"/>
      <c r="D1014" s="12"/>
      <c r="E1014" s="12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</row>
    <row r="1015" customFormat="false" ht="15.75" hidden="false" customHeight="true" outlineLevel="0" collapsed="false">
      <c r="A1015" s="12"/>
      <c r="B1015" s="12"/>
      <c r="C1015" s="12"/>
      <c r="D1015" s="12"/>
      <c r="E1015" s="12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</row>
    <row r="1016" customFormat="false" ht="15.75" hidden="false" customHeight="true" outlineLevel="0" collapsed="false">
      <c r="A1016" s="12"/>
      <c r="B1016" s="12"/>
      <c r="C1016" s="12"/>
      <c r="D1016" s="12"/>
      <c r="E1016" s="12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</row>
    <row r="1017" customFormat="false" ht="15.75" hidden="false" customHeight="true" outlineLevel="0" collapsed="false">
      <c r="A1017" s="12"/>
      <c r="B1017" s="12"/>
      <c r="C1017" s="12"/>
      <c r="D1017" s="12"/>
      <c r="E1017" s="12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</row>
    <row r="1018" customFormat="false" ht="15.75" hidden="false" customHeight="true" outlineLevel="0" collapsed="false">
      <c r="A1018" s="12"/>
      <c r="B1018" s="12"/>
      <c r="C1018" s="12"/>
      <c r="D1018" s="12"/>
      <c r="E1018" s="12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</row>
    <row r="1019" customFormat="false" ht="15.75" hidden="false" customHeight="true" outlineLevel="0" collapsed="false">
      <c r="A1019" s="12"/>
      <c r="B1019" s="12"/>
      <c r="C1019" s="12"/>
      <c r="D1019" s="12"/>
      <c r="E1019" s="12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</row>
    <row r="1020" customFormat="false" ht="15.75" hidden="false" customHeight="true" outlineLevel="0" collapsed="false">
      <c r="A1020" s="12"/>
      <c r="B1020" s="12"/>
      <c r="C1020" s="12"/>
      <c r="D1020" s="12"/>
      <c r="E1020" s="12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</row>
    <row r="1021" customFormat="false" ht="15.75" hidden="false" customHeight="true" outlineLevel="0" collapsed="false">
      <c r="A1021" s="12"/>
      <c r="B1021" s="12"/>
      <c r="C1021" s="12"/>
      <c r="D1021" s="12"/>
      <c r="E1021" s="12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</row>
    <row r="1022" customFormat="false" ht="15.75" hidden="false" customHeight="true" outlineLevel="0" collapsed="false">
      <c r="A1022" s="12"/>
      <c r="B1022" s="12"/>
      <c r="C1022" s="12"/>
      <c r="D1022" s="12"/>
      <c r="E1022" s="12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</row>
    <row r="1023" customFormat="false" ht="15.75" hidden="false" customHeight="true" outlineLevel="0" collapsed="false">
      <c r="A1023" s="12"/>
      <c r="B1023" s="12"/>
      <c r="C1023" s="12"/>
      <c r="D1023" s="12"/>
      <c r="E1023" s="12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</row>
    <row r="1024" customFormat="false" ht="15.75" hidden="false" customHeight="true" outlineLevel="0" collapsed="false">
      <c r="A1024" s="12"/>
      <c r="B1024" s="12"/>
      <c r="C1024" s="12"/>
      <c r="D1024" s="12"/>
      <c r="E1024" s="12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</row>
    <row r="1025" customFormat="false" ht="15.75" hidden="false" customHeight="true" outlineLevel="0" collapsed="false">
      <c r="A1025" s="12"/>
      <c r="B1025" s="12"/>
      <c r="C1025" s="12"/>
      <c r="D1025" s="12"/>
      <c r="E1025" s="12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</row>
    <row r="1026" customFormat="false" ht="15.75" hidden="false" customHeight="true" outlineLevel="0" collapsed="false">
      <c r="A1026" s="12"/>
      <c r="B1026" s="12"/>
      <c r="C1026" s="12"/>
      <c r="D1026" s="12"/>
      <c r="E1026" s="12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</row>
    <row r="1027" customFormat="false" ht="15.75" hidden="false" customHeight="true" outlineLevel="0" collapsed="false">
      <c r="A1027" s="12"/>
      <c r="B1027" s="12"/>
      <c r="C1027" s="12"/>
      <c r="D1027" s="12"/>
      <c r="E1027" s="12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</row>
    <row r="1028" customFormat="false" ht="15.75" hidden="false" customHeight="true" outlineLevel="0" collapsed="false">
      <c r="A1028" s="12"/>
      <c r="B1028" s="12"/>
      <c r="C1028" s="12"/>
      <c r="D1028" s="12"/>
      <c r="E1028" s="12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</row>
    <row r="1029" customFormat="false" ht="15.75" hidden="false" customHeight="true" outlineLevel="0" collapsed="false">
      <c r="A1029" s="12"/>
      <c r="B1029" s="12"/>
      <c r="C1029" s="12"/>
      <c r="D1029" s="12"/>
      <c r="E1029" s="12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</row>
    <row r="1030" customFormat="false" ht="15.75" hidden="false" customHeight="true" outlineLevel="0" collapsed="false">
      <c r="A1030" s="12"/>
      <c r="B1030" s="12"/>
      <c r="C1030" s="12"/>
      <c r="D1030" s="12"/>
      <c r="E1030" s="12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</row>
    <row r="1031" customFormat="false" ht="15.75" hidden="false" customHeight="true" outlineLevel="0" collapsed="false">
      <c r="A1031" s="12"/>
      <c r="B1031" s="12"/>
      <c r="C1031" s="12"/>
      <c r="D1031" s="12"/>
      <c r="E1031" s="12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</row>
    <row r="1032" customFormat="false" ht="15.75" hidden="false" customHeight="true" outlineLevel="0" collapsed="false">
      <c r="A1032" s="12"/>
      <c r="B1032" s="12"/>
      <c r="C1032" s="12"/>
      <c r="D1032" s="12"/>
      <c r="E1032" s="12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</row>
    <row r="1033" customFormat="false" ht="15.75" hidden="false" customHeight="true" outlineLevel="0" collapsed="false">
      <c r="A1033" s="12"/>
      <c r="B1033" s="12"/>
      <c r="C1033" s="12"/>
      <c r="D1033" s="12"/>
      <c r="E1033" s="12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</row>
    <row r="1034" customFormat="false" ht="15.75" hidden="false" customHeight="true" outlineLevel="0" collapsed="false">
      <c r="A1034" s="12"/>
      <c r="B1034" s="12"/>
      <c r="C1034" s="12"/>
      <c r="D1034" s="12"/>
      <c r="E1034" s="12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</row>
    <row r="1035" customFormat="false" ht="15.75" hidden="false" customHeight="true" outlineLevel="0" collapsed="false">
      <c r="A1035" s="12"/>
      <c r="B1035" s="12"/>
      <c r="C1035" s="12"/>
      <c r="D1035" s="12"/>
      <c r="E1035" s="12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</row>
    <row r="1036" customFormat="false" ht="15.75" hidden="false" customHeight="true" outlineLevel="0" collapsed="false">
      <c r="A1036" s="12"/>
      <c r="B1036" s="12"/>
      <c r="C1036" s="12"/>
      <c r="D1036" s="12"/>
      <c r="E1036" s="12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</row>
    <row r="1037" customFormat="false" ht="15.75" hidden="false" customHeight="true" outlineLevel="0" collapsed="false">
      <c r="A1037" s="12"/>
      <c r="B1037" s="12"/>
      <c r="C1037" s="12"/>
      <c r="D1037" s="12"/>
      <c r="E1037" s="12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</row>
    <row r="1038" customFormat="false" ht="15.75" hidden="false" customHeight="true" outlineLevel="0" collapsed="false">
      <c r="A1038" s="12"/>
      <c r="B1038" s="12"/>
      <c r="C1038" s="12"/>
      <c r="D1038" s="12"/>
      <c r="E1038" s="12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</row>
    <row r="1039" customFormat="false" ht="15.75" hidden="false" customHeight="true" outlineLevel="0" collapsed="false">
      <c r="A1039" s="12"/>
      <c r="B1039" s="12"/>
      <c r="C1039" s="12"/>
      <c r="D1039" s="12"/>
      <c r="E1039" s="12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</row>
    <row r="1040" customFormat="false" ht="15.75" hidden="false" customHeight="true" outlineLevel="0" collapsed="false">
      <c r="A1040" s="12"/>
      <c r="B1040" s="12"/>
      <c r="C1040" s="12"/>
      <c r="D1040" s="12"/>
      <c r="E1040" s="12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</row>
    <row r="1041" customFormat="false" ht="15.75" hidden="false" customHeight="true" outlineLevel="0" collapsed="false">
      <c r="A1041" s="12"/>
      <c r="B1041" s="12"/>
      <c r="C1041" s="12"/>
      <c r="D1041" s="12"/>
      <c r="E1041" s="12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</row>
    <row r="1042" customFormat="false" ht="15.75" hidden="false" customHeight="true" outlineLevel="0" collapsed="false">
      <c r="A1042" s="12"/>
      <c r="B1042" s="12"/>
      <c r="C1042" s="12"/>
      <c r="D1042" s="12"/>
      <c r="E1042" s="12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</row>
    <row r="1043" customFormat="false" ht="15.75" hidden="false" customHeight="true" outlineLevel="0" collapsed="false">
      <c r="A1043" s="12"/>
      <c r="B1043" s="12"/>
      <c r="C1043" s="12"/>
      <c r="D1043" s="12"/>
      <c r="E1043" s="12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</row>
    <row r="1044" customFormat="false" ht="15.75" hidden="false" customHeight="true" outlineLevel="0" collapsed="false">
      <c r="A1044" s="12"/>
      <c r="B1044" s="12"/>
      <c r="C1044" s="12"/>
      <c r="D1044" s="12"/>
      <c r="E1044" s="12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</row>
    <row r="1045" customFormat="false" ht="15.75" hidden="false" customHeight="true" outlineLevel="0" collapsed="false">
      <c r="A1045" s="12"/>
      <c r="B1045" s="12"/>
      <c r="C1045" s="12"/>
      <c r="D1045" s="12"/>
      <c r="E1045" s="12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</row>
    <row r="1046" customFormat="false" ht="15.75" hidden="false" customHeight="true" outlineLevel="0" collapsed="false">
      <c r="A1046" s="12"/>
      <c r="B1046" s="12"/>
      <c r="C1046" s="12"/>
      <c r="D1046" s="12"/>
      <c r="E1046" s="12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</row>
    <row r="1047" customFormat="false" ht="15.75" hidden="false" customHeight="true" outlineLevel="0" collapsed="false">
      <c r="A1047" s="12"/>
      <c r="B1047" s="12"/>
      <c r="C1047" s="12"/>
      <c r="D1047" s="12"/>
      <c r="E1047" s="12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</row>
    <row r="1048" customFormat="false" ht="15.75" hidden="false" customHeight="true" outlineLevel="0" collapsed="false">
      <c r="A1048" s="12"/>
      <c r="B1048" s="12"/>
      <c r="C1048" s="12"/>
      <c r="D1048" s="12"/>
      <c r="E1048" s="12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</row>
    <row r="1049" customFormat="false" ht="15.75" hidden="false" customHeight="true" outlineLevel="0" collapsed="false">
      <c r="A1049" s="12"/>
      <c r="B1049" s="12"/>
      <c r="C1049" s="12"/>
      <c r="D1049" s="12"/>
      <c r="E1049" s="12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</row>
    <row r="1050" customFormat="false" ht="15.75" hidden="false" customHeight="true" outlineLevel="0" collapsed="false">
      <c r="A1050" s="12"/>
      <c r="B1050" s="12"/>
      <c r="C1050" s="12"/>
      <c r="D1050" s="12"/>
      <c r="E1050" s="12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</row>
    <row r="1051" customFormat="false" ht="15.75" hidden="false" customHeight="true" outlineLevel="0" collapsed="false">
      <c r="A1051" s="12"/>
      <c r="B1051" s="12"/>
      <c r="C1051" s="12"/>
      <c r="D1051" s="12"/>
      <c r="E1051" s="12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</row>
    <row r="1052" customFormat="false" ht="15.75" hidden="false" customHeight="true" outlineLevel="0" collapsed="false">
      <c r="A1052" s="12"/>
      <c r="B1052" s="12"/>
      <c r="C1052" s="12"/>
      <c r="D1052" s="12"/>
      <c r="E1052" s="12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</row>
    <row r="1053" customFormat="false" ht="15.75" hidden="false" customHeight="true" outlineLevel="0" collapsed="false">
      <c r="A1053" s="12"/>
      <c r="B1053" s="12"/>
      <c r="C1053" s="12"/>
      <c r="D1053" s="12"/>
      <c r="E1053" s="12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</row>
    <row r="1054" customFormat="false" ht="15.75" hidden="false" customHeight="true" outlineLevel="0" collapsed="false">
      <c r="A1054" s="12"/>
      <c r="B1054" s="12"/>
      <c r="C1054" s="12"/>
      <c r="D1054" s="12"/>
      <c r="E1054" s="12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</row>
    <row r="1055" customFormat="false" ht="15.75" hidden="false" customHeight="true" outlineLevel="0" collapsed="false">
      <c r="A1055" s="12"/>
      <c r="B1055" s="12"/>
      <c r="C1055" s="12"/>
      <c r="D1055" s="12"/>
      <c r="E1055" s="12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</row>
    <row r="1056" customFormat="false" ht="15.75" hidden="false" customHeight="true" outlineLevel="0" collapsed="false">
      <c r="A1056" s="12"/>
      <c r="B1056" s="12"/>
      <c r="C1056" s="12"/>
      <c r="D1056" s="12"/>
      <c r="E1056" s="12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</row>
    <row r="1057" customFormat="false" ht="15.75" hidden="false" customHeight="true" outlineLevel="0" collapsed="false">
      <c r="A1057" s="12"/>
      <c r="B1057" s="12"/>
      <c r="C1057" s="12"/>
      <c r="D1057" s="12"/>
      <c r="E1057" s="12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</row>
    <row r="1058" customFormat="false" ht="15.75" hidden="false" customHeight="true" outlineLevel="0" collapsed="false">
      <c r="A1058" s="12"/>
      <c r="B1058" s="12"/>
      <c r="C1058" s="12"/>
      <c r="D1058" s="12"/>
      <c r="E1058" s="12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</row>
    <row r="1059" customFormat="false" ht="15.75" hidden="false" customHeight="true" outlineLevel="0" collapsed="false">
      <c r="A1059" s="12"/>
      <c r="B1059" s="12"/>
      <c r="C1059" s="12"/>
      <c r="D1059" s="12"/>
      <c r="E1059" s="12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</row>
    <row r="1060" customFormat="false" ht="15.75" hidden="false" customHeight="true" outlineLevel="0" collapsed="false">
      <c r="A1060" s="12"/>
      <c r="B1060" s="12"/>
      <c r="C1060" s="12"/>
      <c r="D1060" s="12"/>
      <c r="E1060" s="12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</row>
    <row r="1061" customFormat="false" ht="15.75" hidden="false" customHeight="true" outlineLevel="0" collapsed="false">
      <c r="A1061" s="12"/>
      <c r="B1061" s="12"/>
      <c r="C1061" s="12"/>
      <c r="D1061" s="12"/>
      <c r="E1061" s="12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</row>
    <row r="1062" customFormat="false" ht="15.75" hidden="false" customHeight="true" outlineLevel="0" collapsed="false">
      <c r="A1062" s="12"/>
      <c r="B1062" s="12"/>
      <c r="C1062" s="12"/>
      <c r="D1062" s="12"/>
      <c r="E1062" s="12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</row>
    <row r="1063" customFormat="false" ht="15.75" hidden="false" customHeight="true" outlineLevel="0" collapsed="false">
      <c r="A1063" s="12"/>
      <c r="B1063" s="12"/>
      <c r="C1063" s="12"/>
      <c r="D1063" s="12"/>
      <c r="E1063" s="12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</row>
    <row r="1064" customFormat="false" ht="15.75" hidden="false" customHeight="true" outlineLevel="0" collapsed="false">
      <c r="A1064" s="12"/>
      <c r="B1064" s="12"/>
      <c r="C1064" s="12"/>
      <c r="D1064" s="12"/>
      <c r="E1064" s="12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</row>
    <row r="1065" customFormat="false" ht="15.75" hidden="false" customHeight="true" outlineLevel="0" collapsed="false">
      <c r="A1065" s="12"/>
      <c r="B1065" s="12"/>
      <c r="C1065" s="12"/>
      <c r="D1065" s="12"/>
      <c r="E1065" s="12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</row>
    <row r="1066" customFormat="false" ht="15.75" hidden="false" customHeight="true" outlineLevel="0" collapsed="false">
      <c r="A1066" s="12"/>
      <c r="B1066" s="12"/>
      <c r="C1066" s="12"/>
      <c r="D1066" s="12"/>
      <c r="E1066" s="12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</row>
    <row r="1067" customFormat="false" ht="15.75" hidden="false" customHeight="true" outlineLevel="0" collapsed="false">
      <c r="A1067" s="12"/>
      <c r="B1067" s="12"/>
      <c r="C1067" s="12"/>
      <c r="D1067" s="12"/>
      <c r="E1067" s="12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</row>
    <row r="1068" customFormat="false" ht="15.75" hidden="false" customHeight="true" outlineLevel="0" collapsed="false">
      <c r="A1068" s="12"/>
      <c r="B1068" s="12"/>
      <c r="C1068" s="12"/>
      <c r="D1068" s="12"/>
      <c r="E1068" s="12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</row>
    <row r="1069" customFormat="false" ht="15.75" hidden="false" customHeight="true" outlineLevel="0" collapsed="false">
      <c r="A1069" s="12"/>
      <c r="B1069" s="12"/>
      <c r="C1069" s="12"/>
      <c r="D1069" s="12"/>
      <c r="E1069" s="12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</row>
    <row r="1070" customFormat="false" ht="15.75" hidden="false" customHeight="true" outlineLevel="0" collapsed="false">
      <c r="A1070" s="12"/>
      <c r="B1070" s="12"/>
      <c r="C1070" s="12"/>
      <c r="D1070" s="12"/>
      <c r="E1070" s="12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</row>
    <row r="1071" customFormat="false" ht="15.75" hidden="false" customHeight="true" outlineLevel="0" collapsed="false">
      <c r="A1071" s="12"/>
      <c r="B1071" s="12"/>
      <c r="C1071" s="12"/>
      <c r="D1071" s="12"/>
      <c r="E1071" s="12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</row>
    <row r="1072" customFormat="false" ht="15.75" hidden="false" customHeight="true" outlineLevel="0" collapsed="false">
      <c r="A1072" s="12"/>
      <c r="B1072" s="12"/>
      <c r="C1072" s="12"/>
      <c r="D1072" s="12"/>
      <c r="E1072" s="12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</row>
    <row r="1073" customFormat="false" ht="15.75" hidden="false" customHeight="true" outlineLevel="0" collapsed="false">
      <c r="A1073" s="12"/>
      <c r="B1073" s="12"/>
      <c r="C1073" s="12"/>
      <c r="D1073" s="12"/>
      <c r="E1073" s="12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</row>
    <row r="1074" customFormat="false" ht="15.75" hidden="false" customHeight="true" outlineLevel="0" collapsed="false">
      <c r="A1074" s="12"/>
      <c r="B1074" s="12"/>
      <c r="C1074" s="12"/>
      <c r="D1074" s="12"/>
      <c r="E1074" s="12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</row>
    <row r="1075" customFormat="false" ht="15.75" hidden="false" customHeight="true" outlineLevel="0" collapsed="false">
      <c r="A1075" s="12"/>
      <c r="B1075" s="12"/>
      <c r="C1075" s="12"/>
      <c r="D1075" s="12"/>
      <c r="E1075" s="12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</row>
    <row r="1076" customFormat="false" ht="15.75" hidden="false" customHeight="true" outlineLevel="0" collapsed="false">
      <c r="A1076" s="12"/>
      <c r="B1076" s="12"/>
      <c r="C1076" s="12"/>
      <c r="D1076" s="12"/>
      <c r="E1076" s="12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</row>
    <row r="1077" customFormat="false" ht="15.75" hidden="false" customHeight="true" outlineLevel="0" collapsed="false">
      <c r="A1077" s="12"/>
      <c r="B1077" s="12"/>
      <c r="C1077" s="12"/>
      <c r="D1077" s="12"/>
      <c r="E1077" s="12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</row>
    <row r="1078" customFormat="false" ht="15.75" hidden="false" customHeight="true" outlineLevel="0" collapsed="false">
      <c r="A1078" s="12"/>
      <c r="B1078" s="12"/>
      <c r="C1078" s="12"/>
      <c r="D1078" s="12"/>
      <c r="E1078" s="12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</row>
    <row r="1079" customFormat="false" ht="15.75" hidden="false" customHeight="true" outlineLevel="0" collapsed="false">
      <c r="A1079" s="12"/>
      <c r="B1079" s="12"/>
      <c r="C1079" s="12"/>
      <c r="D1079" s="12"/>
      <c r="E1079" s="12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</row>
    <row r="1080" customFormat="false" ht="15.75" hidden="false" customHeight="true" outlineLevel="0" collapsed="false">
      <c r="A1080" s="12"/>
      <c r="B1080" s="12"/>
      <c r="C1080" s="12"/>
      <c r="D1080" s="12"/>
      <c r="E1080" s="12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</row>
    <row r="1081" customFormat="false" ht="15.75" hidden="false" customHeight="true" outlineLevel="0" collapsed="false">
      <c r="A1081" s="12"/>
      <c r="B1081" s="12"/>
      <c r="C1081" s="12"/>
      <c r="D1081" s="12"/>
      <c r="E1081" s="12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</row>
    <row r="1082" customFormat="false" ht="15.75" hidden="false" customHeight="true" outlineLevel="0" collapsed="false">
      <c r="A1082" s="12"/>
      <c r="B1082" s="12"/>
      <c r="C1082" s="12"/>
      <c r="D1082" s="12"/>
      <c r="E1082" s="12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</row>
    <row r="1083" customFormat="false" ht="15.75" hidden="false" customHeight="true" outlineLevel="0" collapsed="false">
      <c r="A1083" s="12"/>
      <c r="B1083" s="12"/>
      <c r="C1083" s="12"/>
      <c r="D1083" s="12"/>
      <c r="E1083" s="12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</row>
    <row r="1084" customFormat="false" ht="15.75" hidden="false" customHeight="true" outlineLevel="0" collapsed="false">
      <c r="A1084" s="12"/>
      <c r="B1084" s="12"/>
      <c r="C1084" s="12"/>
      <c r="D1084" s="12"/>
      <c r="E1084" s="12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</row>
    <row r="1085" customFormat="false" ht="15.75" hidden="false" customHeight="true" outlineLevel="0" collapsed="false">
      <c r="A1085" s="12"/>
      <c r="B1085" s="12"/>
      <c r="C1085" s="12"/>
      <c r="D1085" s="12"/>
      <c r="E1085" s="12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</row>
    <row r="1086" customFormat="false" ht="15.75" hidden="false" customHeight="true" outlineLevel="0" collapsed="false">
      <c r="A1086" s="12"/>
      <c r="B1086" s="12"/>
      <c r="C1086" s="12"/>
      <c r="D1086" s="12"/>
      <c r="E1086" s="12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</row>
    <row r="1087" customFormat="false" ht="15.75" hidden="false" customHeight="true" outlineLevel="0" collapsed="false">
      <c r="A1087" s="12"/>
      <c r="B1087" s="12"/>
      <c r="C1087" s="12"/>
      <c r="D1087" s="12"/>
      <c r="E1087" s="12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</row>
    <row r="1088" customFormat="false" ht="15.75" hidden="false" customHeight="true" outlineLevel="0" collapsed="false">
      <c r="A1088" s="12"/>
      <c r="B1088" s="12"/>
      <c r="C1088" s="12"/>
      <c r="D1088" s="12"/>
      <c r="E1088" s="12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</row>
    <row r="1089" customFormat="false" ht="15.75" hidden="false" customHeight="true" outlineLevel="0" collapsed="false">
      <c r="A1089" s="12"/>
      <c r="B1089" s="12"/>
      <c r="C1089" s="12"/>
      <c r="D1089" s="12"/>
      <c r="E1089" s="12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</row>
    <row r="1090" customFormat="false" ht="15.75" hidden="false" customHeight="true" outlineLevel="0" collapsed="false">
      <c r="A1090" s="12"/>
      <c r="B1090" s="12"/>
      <c r="C1090" s="12"/>
      <c r="D1090" s="12"/>
      <c r="E1090" s="12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</row>
    <row r="1091" customFormat="false" ht="15.75" hidden="false" customHeight="true" outlineLevel="0" collapsed="false">
      <c r="A1091" s="12"/>
      <c r="B1091" s="12"/>
      <c r="C1091" s="12"/>
      <c r="D1091" s="12"/>
      <c r="E1091" s="12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</row>
    <row r="1092" customFormat="false" ht="15.75" hidden="false" customHeight="true" outlineLevel="0" collapsed="false">
      <c r="A1092" s="12"/>
      <c r="B1092" s="12"/>
      <c r="C1092" s="12"/>
      <c r="D1092" s="12"/>
      <c r="E1092" s="12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</row>
    <row r="1093" customFormat="false" ht="15.75" hidden="false" customHeight="true" outlineLevel="0" collapsed="false">
      <c r="A1093" s="12"/>
      <c r="B1093" s="12"/>
      <c r="C1093" s="12"/>
      <c r="D1093" s="12"/>
      <c r="E1093" s="12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</row>
    <row r="1094" customFormat="false" ht="15.75" hidden="false" customHeight="true" outlineLevel="0" collapsed="false">
      <c r="A1094" s="12"/>
      <c r="B1094" s="12"/>
      <c r="C1094" s="12"/>
      <c r="D1094" s="12"/>
      <c r="E1094" s="12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</row>
    <row r="1095" customFormat="false" ht="15.75" hidden="false" customHeight="true" outlineLevel="0" collapsed="false">
      <c r="A1095" s="12"/>
      <c r="B1095" s="12"/>
      <c r="C1095" s="12"/>
      <c r="D1095" s="12"/>
      <c r="E1095" s="12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</row>
    <row r="1096" customFormat="false" ht="15.75" hidden="false" customHeight="true" outlineLevel="0" collapsed="false">
      <c r="A1096" s="12"/>
      <c r="B1096" s="12"/>
      <c r="C1096" s="12"/>
      <c r="D1096" s="12"/>
      <c r="E1096" s="12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</row>
    <row r="1097" customFormat="false" ht="15.75" hidden="false" customHeight="true" outlineLevel="0" collapsed="false">
      <c r="A1097" s="12"/>
      <c r="B1097" s="12"/>
      <c r="C1097" s="12"/>
      <c r="D1097" s="12"/>
      <c r="E1097" s="12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</row>
    <row r="1098" customFormat="false" ht="15.75" hidden="false" customHeight="true" outlineLevel="0" collapsed="false">
      <c r="A1098" s="12"/>
      <c r="B1098" s="12"/>
      <c r="C1098" s="12"/>
      <c r="D1098" s="12"/>
      <c r="E1098" s="12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</row>
    <row r="1099" customFormat="false" ht="15.75" hidden="false" customHeight="true" outlineLevel="0" collapsed="false">
      <c r="A1099" s="12"/>
      <c r="B1099" s="12"/>
      <c r="C1099" s="12"/>
      <c r="D1099" s="12"/>
      <c r="E1099" s="12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</row>
    <row r="1100" customFormat="false" ht="15.75" hidden="false" customHeight="true" outlineLevel="0" collapsed="false">
      <c r="A1100" s="12"/>
      <c r="B1100" s="12"/>
      <c r="C1100" s="12"/>
      <c r="D1100" s="12"/>
      <c r="E1100" s="12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</row>
    <row r="1101" customFormat="false" ht="15.75" hidden="false" customHeight="true" outlineLevel="0" collapsed="false">
      <c r="A1101" s="12"/>
      <c r="B1101" s="12"/>
      <c r="C1101" s="12"/>
      <c r="D1101" s="12"/>
      <c r="E1101" s="12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</row>
    <row r="1102" customFormat="false" ht="15.75" hidden="false" customHeight="true" outlineLevel="0" collapsed="false">
      <c r="A1102" s="12"/>
      <c r="B1102" s="12"/>
      <c r="C1102" s="12"/>
      <c r="D1102" s="12"/>
      <c r="E1102" s="12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</row>
    <row r="1103" customFormat="false" ht="15.75" hidden="false" customHeight="true" outlineLevel="0" collapsed="false">
      <c r="A1103" s="12"/>
      <c r="B1103" s="12"/>
      <c r="C1103" s="12"/>
      <c r="D1103" s="12"/>
      <c r="E1103" s="12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</row>
    <row r="1104" customFormat="false" ht="15.75" hidden="false" customHeight="true" outlineLevel="0" collapsed="false">
      <c r="A1104" s="12"/>
      <c r="B1104" s="12"/>
      <c r="C1104" s="12"/>
      <c r="D1104" s="12"/>
      <c r="E1104" s="12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</row>
    <row r="1105" customFormat="false" ht="15.75" hidden="false" customHeight="true" outlineLevel="0" collapsed="false">
      <c r="A1105" s="12"/>
      <c r="B1105" s="12"/>
      <c r="C1105" s="12"/>
      <c r="D1105" s="12"/>
      <c r="E1105" s="12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</row>
    <row r="1106" customFormat="false" ht="15.75" hidden="false" customHeight="true" outlineLevel="0" collapsed="false">
      <c r="A1106" s="12"/>
      <c r="B1106" s="12"/>
      <c r="C1106" s="12"/>
      <c r="D1106" s="12"/>
      <c r="E1106" s="12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</row>
    <row r="1107" customFormat="false" ht="15.75" hidden="false" customHeight="true" outlineLevel="0" collapsed="false">
      <c r="A1107" s="12"/>
      <c r="B1107" s="12"/>
      <c r="C1107" s="12"/>
      <c r="D1107" s="12"/>
      <c r="E1107" s="12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</row>
    <row r="1108" customFormat="false" ht="15.75" hidden="false" customHeight="true" outlineLevel="0" collapsed="false">
      <c r="A1108" s="12"/>
      <c r="B1108" s="12"/>
      <c r="C1108" s="12"/>
      <c r="D1108" s="12"/>
      <c r="E1108" s="12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</row>
    <row r="1109" customFormat="false" ht="15.75" hidden="false" customHeight="true" outlineLevel="0" collapsed="false">
      <c r="A1109" s="12"/>
      <c r="B1109" s="12"/>
      <c r="C1109" s="12"/>
      <c r="D1109" s="12"/>
      <c r="E1109" s="12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</row>
    <row r="1110" customFormat="false" ht="15.75" hidden="false" customHeight="true" outlineLevel="0" collapsed="false">
      <c r="A1110" s="12"/>
      <c r="B1110" s="12"/>
      <c r="C1110" s="12"/>
      <c r="D1110" s="12"/>
      <c r="E1110" s="12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</row>
    <row r="1111" customFormat="false" ht="15.75" hidden="false" customHeight="true" outlineLevel="0" collapsed="false">
      <c r="A1111" s="12"/>
      <c r="B1111" s="12"/>
      <c r="C1111" s="12"/>
      <c r="D1111" s="12"/>
      <c r="E1111" s="12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</row>
    <row r="1112" customFormat="false" ht="15.75" hidden="false" customHeight="true" outlineLevel="0" collapsed="false">
      <c r="A1112" s="12"/>
      <c r="B1112" s="12"/>
      <c r="C1112" s="12"/>
      <c r="D1112" s="12"/>
      <c r="E1112" s="12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</row>
    <row r="1113" customFormat="false" ht="15.75" hidden="false" customHeight="true" outlineLevel="0" collapsed="false">
      <c r="A1113" s="12"/>
      <c r="B1113" s="12"/>
      <c r="C1113" s="12"/>
      <c r="D1113" s="12"/>
      <c r="E1113" s="12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</row>
    <row r="1114" customFormat="false" ht="15.75" hidden="false" customHeight="true" outlineLevel="0" collapsed="false">
      <c r="A1114" s="12"/>
      <c r="B1114" s="12"/>
      <c r="C1114" s="12"/>
      <c r="D1114" s="12"/>
      <c r="E1114" s="12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</row>
  </sheetData>
  <autoFilter ref="B4:O76"/>
  <mergeCells count="1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</mergeCells>
  <hyperlinks>
    <hyperlink ref="L12" r:id="rId1" display="https://maps.app.goo.gl/VqUvHGUte5q5FV2JA?g_st=ac"/>
    <hyperlink ref="L47" r:id="rId2" display="https://maps.app.goo.gl/UbVRH4J64x1zy54x6?g_st=ac"/>
    <hyperlink ref="L48" r:id="rId3" display="https://maps.app.goo.gl/fS2otZ2tHhtCfGpc9?g_st=ac"/>
    <hyperlink ref="L50" r:id="rId4" display="https://maps.app.goo.gl/7zqjjRucn41fW8jy7?g_st=ac"/>
    <hyperlink ref="L51" r:id="rId5" display="https://maps.app.goo.gl/rEM9Tfb7Pbuk3txV9?g_st=ac"/>
    <hyperlink ref="L52" r:id="rId6" display="https://maps.app.goo.gl/QNqj5mLWdd4KqQEH6?g_st=ac"/>
    <hyperlink ref="L53" r:id="rId7" display="https://maps.app.goo.gl/YyhTKr4USSez3QeEA?g_st=ac"/>
    <hyperlink ref="L54" r:id="rId8" display="https://maps.app.goo.gl/UsFHMhBF4QMc2UQP9?g_st=ac"/>
    <hyperlink ref="L55" r:id="rId9" display="https://maps.app.goo.gl/Fe5ouofaBAnyMNpy9?g_st=ac"/>
    <hyperlink ref="L57" r:id="rId10" display="https://maps.app.goo.gl/HB3ei5jdVf2VNG978?g_st=ac"/>
    <hyperlink ref="L58" r:id="rId11" display="https://maps.app.goo.gl/Jgbidrcn5TzAPwU6A"/>
    <hyperlink ref="L60" r:id="rId12" display="https://maps.app.goo.gl/NFF7HAYNg6WWn3je6?g_st=ac"/>
    <hyperlink ref="L62" r:id="rId13" display="https://maps.app.goo.gl/vpRA7mqKSDUXi4kN7?g_st=ac"/>
    <hyperlink ref="L63" r:id="rId14" display="https://maps.app.goo.gl/UCmtsHnS8e7gSqC8A?g_st=ac"/>
    <hyperlink ref="L64" r:id="rId15" display="https://maps.app.goo.gl/qsbRFsrGuhVfW9Rz5?g_st=ac"/>
    <hyperlink ref="L65" r:id="rId16" display="https://maps.app.goo.gl/St8S6aaTLwXpkyHEA?g_st=ac"/>
    <hyperlink ref="L66" r:id="rId17" display="https://maps.app.goo.gl/7dDPk3gKWrgRTB4G6?g_st=ac"/>
    <hyperlink ref="L67" r:id="rId18" display="https://maps.app.goo.gl/4qr7spyp8hjpvt9Q6?g_st=ac"/>
    <hyperlink ref="L68" r:id="rId19" display="https://maps.app.goo.gl/tzZfQKZWX5ZCKRgt9?g_st=ac"/>
    <hyperlink ref="L69" r:id="rId20" display="https://maps.app.goo.gl/wZYax64wDeD4QdUP6?g_st=ac"/>
    <hyperlink ref="L70" r:id="rId21" display="https://maps.app.goo.gl/6CeconKTS2x7KWuR7"/>
    <hyperlink ref="L71" r:id="rId22" display="https://maps.app.goo.gl/zBxe15bgBCktGW5w9?g_st=ac"/>
    <hyperlink ref="L72" r:id="rId23" display="https://maps.app.goo.gl/6Q6xrkJ9SfRjdjA7A?g_st=ac"/>
    <hyperlink ref="L73" r:id="rId24" display="https://maps.app.goo.gl/s8rDu1gZQzNDkdhK8?g_st=ac"/>
    <hyperlink ref="L74" r:id="rId25" display="https://maps.app.goo.gl/VZBedH6qtR5AbNBYA?g_st=ac"/>
    <hyperlink ref="L75" r:id="rId26" display="https://maps.app.goo.gl/tEJQJFW143KUcctv5?g_st=a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I3" activeCellId="0" sqref="BI3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5.06"/>
    <col collapsed="false" customWidth="true" hidden="false" outlineLevel="0" max="3" min="3" style="0" width="25.56"/>
    <col collapsed="false" customWidth="true" hidden="false" outlineLevel="0" max="4" min="4" style="0" width="16.95"/>
    <col collapsed="false" customWidth="true" hidden="false" outlineLevel="0" max="5" min="5" style="0" width="11.3"/>
    <col collapsed="false" customWidth="true" hidden="false" outlineLevel="0" max="6" min="6" style="0" width="16.54"/>
    <col collapsed="false" customWidth="true" hidden="false" outlineLevel="0" max="7" min="7" style="0" width="19.23"/>
    <col collapsed="false" customWidth="true" hidden="false" outlineLevel="0" max="8" min="8" style="0" width="4.03"/>
    <col collapsed="false" customWidth="true" hidden="false" outlineLevel="0" max="9" min="9" style="0" width="9.55"/>
    <col collapsed="false" customWidth="true" hidden="false" outlineLevel="0" max="10" min="10" style="0" width="13.45"/>
    <col collapsed="false" customWidth="true" hidden="false" outlineLevel="0" max="11" min="11" style="0" width="13.99"/>
    <col collapsed="false" customWidth="true" hidden="false" outlineLevel="0" max="12" min="12" style="0" width="14.66"/>
    <col collapsed="false" customWidth="true" hidden="false" outlineLevel="0" max="13" min="13" style="0" width="8.61"/>
    <col collapsed="false" customWidth="true" hidden="false" outlineLevel="0" max="14" min="14" style="0" width="9.95"/>
    <col collapsed="false" customWidth="true" hidden="false" outlineLevel="0" max="15" min="15" style="0" width="14.39"/>
  </cols>
  <sheetData>
    <row r="1" customFormat="false" ht="15" hidden="false" customHeight="false" outlineLevel="0" collapsed="false">
      <c r="A1" s="146" t="str">
        <f aca="false">IFERROR(__xludf.dummyfunction("IMPORTRANGE(""https://docs.google.com/spreadsheets/d/1Qqo2wmpZG6M_YpBBammZCl7qck4QejAK3B4PK4J2QdY/"",""COPY OF JATENGUT 1 PRIORITY 3 (M+3,INVALID,REQ)!A:BA"")"),"REGION")</f>
        <v>REGION</v>
      </c>
      <c r="B1" s="147" t="str">
        <f aca="false">IFERROR(__xludf.dummyfunction("""COMPUTED_VALUE"""),"NAMA CABANG")</f>
        <v>NAMA CABANG</v>
      </c>
      <c r="C1" s="5" t="str">
        <f aca="false">IFERROR(__xludf.dummyfunction("""COMPUTED_VALUE"""),"NAMA KONSUMEN")</f>
        <v>NAMA KONSUMEN</v>
      </c>
      <c r="D1" s="5" t="str">
        <f aca="false">IFERROR(__xludf.dummyfunction("""COMPUTED_VALUE"""),"NO KONTRAK")</f>
        <v>NO KONTRAK</v>
      </c>
      <c r="E1" s="147" t="str">
        <f aca="false">IFERROR(__xludf.dummyfunction("""COMPUTED_VALUE"""),"KECAMATAN")</f>
        <v>KECAMATAN</v>
      </c>
      <c r="F1" s="148" t="str">
        <f aca="false">IFERROR(__xludf.dummyfunction("""COMPUTED_VALUE"""),"KETERANGAN")</f>
        <v>KETERANGAN</v>
      </c>
      <c r="G1" s="149" t="s">
        <v>9</v>
      </c>
      <c r="H1" s="4" t="s">
        <v>10</v>
      </c>
      <c r="I1" s="149" t="s">
        <v>11</v>
      </c>
      <c r="J1" s="149" t="s">
        <v>12</v>
      </c>
      <c r="K1" s="149" t="s">
        <v>13</v>
      </c>
      <c r="L1" s="149" t="s">
        <v>14</v>
      </c>
      <c r="M1" s="149" t="s">
        <v>15</v>
      </c>
      <c r="N1" s="4" t="s">
        <v>16</v>
      </c>
      <c r="O1" s="149" t="s">
        <v>17</v>
      </c>
    </row>
    <row r="2" customFormat="false" ht="15" hidden="false" customHeight="false" outlineLevel="0" collapsed="false">
      <c r="A2" s="146"/>
      <c r="B2" s="147"/>
      <c r="C2" s="147"/>
      <c r="D2" s="5"/>
      <c r="E2" s="147"/>
      <c r="F2" s="148"/>
      <c r="G2" s="149"/>
      <c r="H2" s="4"/>
      <c r="I2" s="149"/>
      <c r="J2" s="149"/>
      <c r="K2" s="149"/>
      <c r="L2" s="149"/>
      <c r="M2" s="149"/>
      <c r="N2" s="4"/>
      <c r="O2" s="149"/>
    </row>
    <row r="3" customFormat="false" ht="15" hidden="false" customHeight="false" outlineLevel="0" collapsed="false">
      <c r="A3" s="146"/>
      <c r="B3" s="147"/>
      <c r="C3" s="147"/>
      <c r="D3" s="5"/>
      <c r="E3" s="147"/>
      <c r="F3" s="148"/>
      <c r="G3" s="149"/>
      <c r="H3" s="4"/>
      <c r="I3" s="149"/>
      <c r="J3" s="149"/>
      <c r="K3" s="149"/>
      <c r="L3" s="149"/>
      <c r="M3" s="149"/>
      <c r="N3" s="4"/>
      <c r="O3" s="149"/>
    </row>
    <row r="4" customFormat="false" ht="15" hidden="false" customHeight="false" outlineLevel="0" collapsed="false">
      <c r="A4" s="150"/>
      <c r="B4" s="10"/>
      <c r="C4" s="151"/>
      <c r="D4" s="151"/>
      <c r="E4" s="10"/>
      <c r="F4" s="10"/>
      <c r="G4" s="152"/>
      <c r="H4" s="152"/>
      <c r="I4" s="153"/>
      <c r="J4" s="153"/>
      <c r="K4" s="153"/>
      <c r="L4" s="153"/>
      <c r="M4" s="153"/>
      <c r="N4" s="153"/>
      <c r="O4" s="153"/>
    </row>
    <row r="5" customFormat="false" ht="15" hidden="false" customHeight="false" outlineLevel="0" collapsed="false">
      <c r="A5" s="150"/>
      <c r="B5" s="10"/>
      <c r="C5" s="151"/>
      <c r="D5" s="151"/>
      <c r="E5" s="10"/>
      <c r="F5" s="10"/>
      <c r="G5" s="152"/>
      <c r="H5" s="154"/>
      <c r="I5" s="155"/>
      <c r="J5" s="153"/>
      <c r="K5" s="153"/>
      <c r="L5" s="153"/>
      <c r="M5" s="153"/>
      <c r="N5" s="153"/>
      <c r="O5" s="153"/>
    </row>
    <row r="6" customFormat="false" ht="15" hidden="false" customHeight="false" outlineLevel="0" collapsed="false">
      <c r="A6" s="150"/>
      <c r="B6" s="42"/>
      <c r="C6" s="156"/>
      <c r="D6" s="156"/>
      <c r="E6" s="80"/>
      <c r="F6" s="10"/>
      <c r="G6" s="152"/>
      <c r="H6" s="157"/>
      <c r="I6" s="158"/>
      <c r="J6" s="153"/>
      <c r="K6" s="153"/>
      <c r="L6" s="153"/>
      <c r="M6" s="153"/>
      <c r="N6" s="153"/>
      <c r="O6" s="153"/>
    </row>
    <row r="7" customFormat="false" ht="15" hidden="false" customHeight="false" outlineLevel="0" collapsed="false">
      <c r="A7" s="150"/>
      <c r="B7" s="42"/>
      <c r="C7" s="156"/>
      <c r="D7" s="156"/>
      <c r="E7" s="80"/>
      <c r="F7" s="10"/>
      <c r="G7" s="152"/>
      <c r="H7" s="154"/>
      <c r="I7" s="155"/>
      <c r="J7" s="153"/>
      <c r="K7" s="153"/>
      <c r="L7" s="153"/>
      <c r="M7" s="153"/>
      <c r="N7" s="153"/>
      <c r="O7" s="153"/>
    </row>
    <row r="8" customFormat="false" ht="15" hidden="false" customHeight="false" outlineLevel="0" collapsed="false">
      <c r="A8" s="150"/>
      <c r="B8" s="42"/>
      <c r="C8" s="156"/>
      <c r="D8" s="156"/>
      <c r="E8" s="80"/>
      <c r="F8" s="10"/>
      <c r="G8" s="152"/>
      <c r="H8" s="154"/>
      <c r="I8" s="155"/>
      <c r="J8" s="153"/>
      <c r="K8" s="153"/>
      <c r="L8" s="153"/>
      <c r="M8" s="153"/>
      <c r="N8" s="153"/>
      <c r="O8" s="153"/>
    </row>
    <row r="9" customFormat="false" ht="15" hidden="false" customHeight="false" outlineLevel="0" collapsed="false">
      <c r="A9" s="150"/>
      <c r="B9" s="42"/>
      <c r="C9" s="156"/>
      <c r="D9" s="156"/>
      <c r="E9" s="80"/>
      <c r="F9" s="10"/>
      <c r="G9" s="152"/>
      <c r="H9" s="154"/>
      <c r="I9" s="155"/>
      <c r="J9" s="153"/>
      <c r="K9" s="153"/>
      <c r="L9" s="153"/>
      <c r="M9" s="153"/>
      <c r="N9" s="153"/>
      <c r="O9" s="153"/>
    </row>
    <row r="10" customFormat="false" ht="15" hidden="false" customHeight="false" outlineLevel="0" collapsed="false">
      <c r="A10" s="150"/>
      <c r="B10" s="42"/>
      <c r="C10" s="156"/>
      <c r="D10" s="156"/>
      <c r="E10" s="80"/>
      <c r="F10" s="10"/>
      <c r="G10" s="152"/>
      <c r="H10" s="157"/>
      <c r="I10" s="159"/>
      <c r="J10" s="153"/>
      <c r="K10" s="153"/>
      <c r="L10" s="153"/>
      <c r="M10" s="153"/>
      <c r="N10" s="153"/>
      <c r="O10" s="153"/>
    </row>
    <row r="11" customFormat="false" ht="15" hidden="false" customHeight="false" outlineLevel="0" collapsed="false">
      <c r="A11" s="150"/>
      <c r="B11" s="42"/>
      <c r="C11" s="156"/>
      <c r="D11" s="156"/>
      <c r="E11" s="80"/>
      <c r="F11" s="10"/>
      <c r="G11" s="152"/>
      <c r="H11" s="157"/>
      <c r="I11" s="157"/>
      <c r="J11" s="153"/>
      <c r="K11" s="153"/>
      <c r="L11" s="153"/>
      <c r="M11" s="153"/>
      <c r="N11" s="153"/>
      <c r="O11" s="153"/>
    </row>
    <row r="12" customFormat="false" ht="15" hidden="false" customHeight="false" outlineLevel="0" collapsed="false">
      <c r="A12" s="150"/>
      <c r="B12" s="42"/>
      <c r="C12" s="156"/>
      <c r="D12" s="156"/>
      <c r="E12" s="80"/>
      <c r="F12" s="10"/>
      <c r="G12" s="152"/>
      <c r="H12" s="157"/>
      <c r="I12" s="157"/>
      <c r="J12" s="153"/>
      <c r="K12" s="153"/>
      <c r="L12" s="153"/>
      <c r="M12" s="153"/>
      <c r="N12" s="153"/>
      <c r="O12" s="153"/>
    </row>
    <row r="13" customFormat="false" ht="15" hidden="false" customHeight="false" outlineLevel="0" collapsed="false">
      <c r="A13" s="80"/>
      <c r="B13" s="42"/>
      <c r="C13" s="156"/>
      <c r="D13" s="156"/>
      <c r="E13" s="80"/>
      <c r="F13" s="10"/>
      <c r="G13" s="152"/>
      <c r="H13" s="157"/>
      <c r="I13" s="157"/>
      <c r="J13" s="153"/>
      <c r="K13" s="153"/>
      <c r="L13" s="153"/>
      <c r="M13" s="153"/>
      <c r="N13" s="153"/>
      <c r="O13" s="153"/>
    </row>
    <row r="14" customFormat="false" ht="15" hidden="false" customHeight="false" outlineLevel="0" collapsed="false">
      <c r="A14" s="80"/>
      <c r="B14" s="42"/>
      <c r="C14" s="156"/>
      <c r="D14" s="156"/>
      <c r="E14" s="80"/>
      <c r="F14" s="10"/>
      <c r="G14" s="152"/>
      <c r="H14" s="157"/>
      <c r="I14" s="157"/>
      <c r="J14" s="153"/>
      <c r="K14" s="153"/>
      <c r="L14" s="153"/>
      <c r="M14" s="153"/>
      <c r="N14" s="153"/>
      <c r="O14" s="153"/>
    </row>
    <row r="15" customFormat="false" ht="15" hidden="false" customHeight="false" outlineLevel="0" collapsed="false">
      <c r="A15" s="80"/>
      <c r="B15" s="42"/>
      <c r="C15" s="150"/>
      <c r="D15" s="156"/>
      <c r="E15" s="80"/>
      <c r="F15" s="10"/>
      <c r="G15" s="152"/>
      <c r="H15" s="157"/>
      <c r="I15" s="157"/>
      <c r="J15" s="153"/>
      <c r="K15" s="153"/>
      <c r="L15" s="153"/>
      <c r="M15" s="153"/>
      <c r="N15" s="153"/>
      <c r="O15" s="153"/>
    </row>
    <row r="16" customFormat="false" ht="15" hidden="false" customHeight="false" outlineLevel="0" collapsed="false">
      <c r="G16" s="160"/>
      <c r="H16" s="160"/>
      <c r="I16" s="160"/>
      <c r="J16" s="160"/>
      <c r="K16" s="160"/>
      <c r="L16" s="160"/>
      <c r="M16" s="160"/>
      <c r="N16" s="160"/>
      <c r="O16" s="160"/>
    </row>
    <row r="17" customFormat="false" ht="15" hidden="false" customHeight="false" outlineLevel="0" collapsed="false">
      <c r="G17" s="160"/>
      <c r="H17" s="160"/>
      <c r="I17" s="160"/>
      <c r="J17" s="160"/>
      <c r="K17" s="160"/>
      <c r="L17" s="160"/>
      <c r="M17" s="160"/>
      <c r="N17" s="160"/>
      <c r="O17" s="160"/>
    </row>
    <row r="18" customFormat="false" ht="15" hidden="false" customHeight="false" outlineLevel="0" collapsed="false">
      <c r="G18" s="160"/>
      <c r="H18" s="160"/>
      <c r="I18" s="160"/>
      <c r="J18" s="160"/>
      <c r="K18" s="160"/>
      <c r="L18" s="160"/>
      <c r="M18" s="160"/>
      <c r="N18" s="160"/>
      <c r="O18" s="160"/>
    </row>
    <row r="19" customFormat="false" ht="15" hidden="false" customHeight="false" outlineLevel="0" collapsed="false">
      <c r="G19" s="160"/>
      <c r="H19" s="160"/>
      <c r="I19" s="161"/>
      <c r="J19" s="161"/>
      <c r="K19" s="161"/>
      <c r="L19" s="161"/>
      <c r="M19" s="161"/>
      <c r="N19" s="161"/>
      <c r="O19" s="161"/>
    </row>
    <row r="20" customFormat="false" ht="15" hidden="false" customHeight="false" outlineLevel="0" collapsed="false">
      <c r="G20" s="162"/>
      <c r="H20" s="163"/>
      <c r="I20" s="155"/>
      <c r="J20" s="164"/>
      <c r="K20" s="164"/>
      <c r="L20" s="160"/>
      <c r="M20" s="155"/>
      <c r="N20" s="160"/>
      <c r="O20" s="155"/>
    </row>
    <row r="21" customFormat="false" ht="15" hidden="false" customHeight="false" outlineLevel="0" collapsed="false">
      <c r="G21" s="162"/>
      <c r="H21" s="163"/>
      <c r="I21" s="155"/>
      <c r="J21" s="164"/>
      <c r="K21" s="164"/>
      <c r="L21" s="160"/>
      <c r="M21" s="155"/>
      <c r="N21" s="160"/>
      <c r="O21" s="155"/>
    </row>
    <row r="22" customFormat="false" ht="15" hidden="false" customHeight="false" outlineLevel="0" collapsed="false">
      <c r="G22" s="162"/>
      <c r="H22" s="163"/>
      <c r="I22" s="155"/>
      <c r="J22" s="164"/>
      <c r="K22" s="164"/>
      <c r="L22" s="160"/>
      <c r="M22" s="155"/>
      <c r="N22" s="160"/>
      <c r="O22" s="155"/>
    </row>
    <row r="23" customFormat="false" ht="15" hidden="false" customHeight="false" outlineLevel="0" collapsed="false">
      <c r="G23" s="162"/>
      <c r="H23" s="163"/>
      <c r="I23" s="155"/>
      <c r="J23" s="164"/>
      <c r="K23" s="164"/>
      <c r="L23" s="160"/>
      <c r="M23" s="155"/>
      <c r="N23" s="160"/>
      <c r="O23" s="155"/>
    </row>
    <row r="24" customFormat="false" ht="15" hidden="false" customHeight="false" outlineLevel="0" collapsed="false">
      <c r="G24" s="162"/>
      <c r="H24" s="163"/>
      <c r="I24" s="155"/>
      <c r="J24" s="164"/>
      <c r="K24" s="164"/>
      <c r="L24" s="160"/>
      <c r="M24" s="155"/>
      <c r="N24" s="160"/>
      <c r="O24" s="155"/>
    </row>
    <row r="25" customFormat="false" ht="15" hidden="false" customHeight="false" outlineLevel="0" collapsed="false">
      <c r="G25" s="162"/>
      <c r="H25" s="163"/>
      <c r="I25" s="155"/>
      <c r="J25" s="164"/>
      <c r="K25" s="164"/>
      <c r="L25" s="160"/>
      <c r="M25" s="155"/>
      <c r="N25" s="160"/>
      <c r="O25" s="155"/>
    </row>
    <row r="26" customFormat="false" ht="15" hidden="false" customHeight="false" outlineLevel="0" collapsed="false">
      <c r="G26" s="162"/>
      <c r="H26" s="163"/>
      <c r="I26" s="155"/>
      <c r="J26" s="164"/>
      <c r="K26" s="164"/>
      <c r="L26" s="160"/>
      <c r="M26" s="155"/>
      <c r="N26" s="160"/>
      <c r="O26" s="155"/>
    </row>
    <row r="27" customFormat="false" ht="15" hidden="false" customHeight="false" outlineLevel="0" collapsed="false">
      <c r="G27" s="160"/>
      <c r="H27" s="160"/>
      <c r="I27" s="165"/>
      <c r="J27" s="162"/>
      <c r="K27" s="162"/>
      <c r="L27" s="165"/>
      <c r="M27" s="165"/>
      <c r="N27" s="165"/>
      <c r="O27" s="165"/>
    </row>
    <row r="28" customFormat="false" ht="15" hidden="false" customHeight="false" outlineLevel="0" collapsed="false">
      <c r="G28" s="160"/>
      <c r="H28" s="160"/>
      <c r="I28" s="160"/>
      <c r="J28" s="160"/>
      <c r="K28" s="160"/>
      <c r="L28" s="160"/>
      <c r="M28" s="160"/>
      <c r="N28" s="160"/>
      <c r="O28" s="160"/>
    </row>
    <row r="29" customFormat="false" ht="15" hidden="false" customHeight="false" outlineLevel="0" collapsed="false">
      <c r="G29" s="160"/>
      <c r="H29" s="160"/>
      <c r="I29" s="160"/>
      <c r="J29" s="160"/>
      <c r="K29" s="160"/>
      <c r="L29" s="160"/>
      <c r="M29" s="160"/>
      <c r="N29" s="160"/>
      <c r="O29" s="160"/>
    </row>
    <row r="30" customFormat="false" ht="15" hidden="false" customHeight="false" outlineLevel="0" collapsed="false">
      <c r="G30" s="160"/>
      <c r="H30" s="160"/>
      <c r="I30" s="161"/>
      <c r="J30" s="161"/>
      <c r="K30" s="161"/>
      <c r="L30" s="161"/>
      <c r="M30" s="161"/>
      <c r="N30" s="161"/>
      <c r="O30" s="161"/>
    </row>
    <row r="31" customFormat="false" ht="15" hidden="false" customHeight="false" outlineLevel="0" collapsed="false">
      <c r="G31" s="162"/>
      <c r="H31" s="163"/>
      <c r="I31" s="155"/>
      <c r="J31" s="160"/>
      <c r="K31" s="160"/>
      <c r="L31" s="160"/>
      <c r="M31" s="155"/>
      <c r="N31" s="160"/>
      <c r="O31" s="155"/>
    </row>
    <row r="32" customFormat="false" ht="15" hidden="false" customHeight="false" outlineLevel="0" collapsed="false">
      <c r="G32" s="162"/>
      <c r="H32" s="163"/>
      <c r="I32" s="155"/>
      <c r="J32" s="164"/>
      <c r="K32" s="164"/>
      <c r="L32" s="160"/>
      <c r="M32" s="155"/>
      <c r="N32" s="160"/>
      <c r="O32" s="155"/>
    </row>
    <row r="33" customFormat="false" ht="15" hidden="false" customHeight="false" outlineLevel="0" collapsed="false">
      <c r="G33" s="162"/>
      <c r="H33" s="163"/>
      <c r="I33" s="155"/>
      <c r="J33" s="164"/>
      <c r="K33" s="164"/>
      <c r="L33" s="160"/>
      <c r="M33" s="155"/>
      <c r="N33" s="160"/>
      <c r="O33" s="155"/>
    </row>
    <row r="34" customFormat="false" ht="15" hidden="false" customHeight="false" outlineLevel="0" collapsed="false">
      <c r="G34" s="162"/>
      <c r="H34" s="163"/>
      <c r="I34" s="155"/>
      <c r="J34" s="164"/>
      <c r="K34" s="164"/>
      <c r="L34" s="160"/>
      <c r="M34" s="155"/>
      <c r="N34" s="160"/>
      <c r="O34" s="155"/>
    </row>
    <row r="35" customFormat="false" ht="15" hidden="false" customHeight="false" outlineLevel="0" collapsed="false">
      <c r="G35" s="162"/>
      <c r="H35" s="163"/>
      <c r="I35" s="155"/>
      <c r="J35" s="164"/>
      <c r="K35" s="164"/>
      <c r="L35" s="160"/>
      <c r="M35" s="155"/>
      <c r="N35" s="160"/>
      <c r="O35" s="155"/>
    </row>
    <row r="36" customFormat="false" ht="15" hidden="false" customHeight="false" outlineLevel="0" collapsed="false">
      <c r="G36" s="162"/>
      <c r="H36" s="163"/>
      <c r="I36" s="155"/>
      <c r="J36" s="164"/>
      <c r="K36" s="164"/>
      <c r="L36" s="160"/>
      <c r="M36" s="155"/>
      <c r="N36" s="160"/>
      <c r="O36" s="155"/>
    </row>
    <row r="37" customFormat="false" ht="15" hidden="false" customHeight="false" outlineLevel="0" collapsed="false">
      <c r="G37" s="162"/>
      <c r="H37" s="163"/>
      <c r="I37" s="155"/>
      <c r="J37" s="164"/>
      <c r="K37" s="164"/>
      <c r="L37" s="160"/>
      <c r="M37" s="155"/>
      <c r="N37" s="160"/>
      <c r="O37" s="155"/>
    </row>
    <row r="38" customFormat="false" ht="15" hidden="false" customHeight="false" outlineLevel="0" collapsed="false">
      <c r="G38" s="160"/>
      <c r="H38" s="160"/>
      <c r="I38" s="165"/>
      <c r="J38" s="165"/>
      <c r="K38" s="165"/>
      <c r="L38" s="165"/>
      <c r="M38" s="165"/>
      <c r="N38" s="165"/>
      <c r="O38" s="165"/>
    </row>
    <row r="39" customFormat="false" ht="15" hidden="false" customHeight="false" outlineLevel="0" collapsed="false">
      <c r="G39" s="160"/>
      <c r="H39" s="160"/>
      <c r="I39" s="160"/>
      <c r="J39" s="160"/>
      <c r="K39" s="160"/>
      <c r="L39" s="160"/>
      <c r="M39" s="160"/>
      <c r="N39" s="160"/>
      <c r="O39" s="160"/>
    </row>
    <row r="40" customFormat="false" ht="15" hidden="false" customHeight="false" outlineLevel="0" collapsed="false">
      <c r="G40" s="160"/>
      <c r="H40" s="160"/>
      <c r="I40" s="161"/>
      <c r="J40" s="161"/>
      <c r="K40" s="161"/>
      <c r="L40" s="161"/>
      <c r="M40" s="161"/>
      <c r="N40" s="161"/>
      <c r="O40" s="161"/>
    </row>
    <row r="41" customFormat="false" ht="15" hidden="false" customHeight="false" outlineLevel="0" collapsed="false">
      <c r="G41" s="162"/>
      <c r="H41" s="163"/>
      <c r="I41" s="155"/>
      <c r="J41" s="164"/>
      <c r="K41" s="164"/>
      <c r="L41" s="160"/>
      <c r="M41" s="155"/>
      <c r="N41" s="160"/>
      <c r="O41" s="155"/>
    </row>
    <row r="42" customFormat="false" ht="15" hidden="false" customHeight="false" outlineLevel="0" collapsed="false">
      <c r="G42" s="162"/>
      <c r="H42" s="163"/>
      <c r="I42" s="155"/>
      <c r="J42" s="164"/>
      <c r="K42" s="164"/>
      <c r="L42" s="160"/>
      <c r="M42" s="155"/>
      <c r="N42" s="160"/>
      <c r="O42" s="155"/>
    </row>
    <row r="43" customFormat="false" ht="15" hidden="false" customHeight="false" outlineLevel="0" collapsed="false">
      <c r="G43" s="162"/>
      <c r="H43" s="163"/>
      <c r="I43" s="155"/>
      <c r="J43" s="160"/>
      <c r="K43" s="160"/>
      <c r="L43" s="160"/>
      <c r="M43" s="155"/>
      <c r="N43" s="160"/>
      <c r="O43" s="155"/>
    </row>
    <row r="44" customFormat="false" ht="15" hidden="false" customHeight="false" outlineLevel="0" collapsed="false">
      <c r="G44" s="162"/>
      <c r="H44" s="163"/>
      <c r="I44" s="155"/>
      <c r="J44" s="164"/>
      <c r="K44" s="164"/>
      <c r="L44" s="160"/>
      <c r="M44" s="155"/>
      <c r="N44" s="160"/>
      <c r="O44" s="155"/>
    </row>
    <row r="45" customFormat="false" ht="15" hidden="false" customHeight="false" outlineLevel="0" collapsed="false">
      <c r="G45" s="162"/>
      <c r="H45" s="163"/>
      <c r="I45" s="155"/>
      <c r="J45" s="164"/>
      <c r="K45" s="164"/>
      <c r="L45" s="160"/>
      <c r="M45" s="155"/>
      <c r="N45" s="160"/>
      <c r="O45" s="155"/>
    </row>
    <row r="46" customFormat="false" ht="15" hidden="false" customHeight="false" outlineLevel="0" collapsed="false">
      <c r="G46" s="166"/>
      <c r="H46" s="167"/>
      <c r="I46" s="24"/>
      <c r="J46" s="29"/>
      <c r="K46" s="29"/>
      <c r="L46" s="11"/>
      <c r="M46" s="24"/>
      <c r="N46" s="11"/>
      <c r="O46" s="24"/>
    </row>
    <row r="47" customFormat="false" ht="15" hidden="false" customHeight="false" outlineLevel="0" collapsed="false">
      <c r="G47" s="11"/>
      <c r="H47" s="11"/>
      <c r="I47" s="168"/>
      <c r="J47" s="166"/>
      <c r="K47" s="166"/>
      <c r="L47" s="168"/>
      <c r="M47" s="168"/>
      <c r="N47" s="168"/>
      <c r="O47" s="168"/>
    </row>
    <row r="48" customFormat="false" ht="15" hidden="false" customHeight="false" outlineLevel="0" collapsed="false">
      <c r="G48" s="166"/>
      <c r="H48" s="167"/>
      <c r="I48" s="24"/>
      <c r="J48" s="29"/>
      <c r="K48" s="29"/>
      <c r="L48" s="11"/>
      <c r="M48" s="24"/>
      <c r="N48" s="11"/>
      <c r="O48" s="24"/>
    </row>
    <row r="49" customFormat="false" ht="15" hidden="false" customHeight="false" outlineLevel="0" collapsed="false">
      <c r="H49" s="167"/>
      <c r="I49" s="24"/>
      <c r="J49" s="11"/>
      <c r="K49" s="11"/>
      <c r="L49" s="11"/>
      <c r="M49" s="24"/>
      <c r="N49" s="11"/>
      <c r="O49" s="24"/>
    </row>
    <row r="50" customFormat="false" ht="15" hidden="false" customHeight="false" outlineLevel="0" collapsed="false">
      <c r="G50" s="11"/>
      <c r="H50" s="11"/>
      <c r="I50" s="169"/>
      <c r="J50" s="169"/>
      <c r="K50" s="169"/>
      <c r="L50" s="169"/>
      <c r="M50" s="169"/>
      <c r="N50" s="169"/>
      <c r="O50" s="169"/>
    </row>
    <row r="51" customFormat="false" ht="15" hidden="false" customHeight="false" outlineLevel="0" collapsed="false">
      <c r="G51" s="11"/>
      <c r="H51" s="11"/>
      <c r="I51" s="11"/>
      <c r="J51" s="11"/>
      <c r="K51" s="11"/>
      <c r="L51" s="11"/>
      <c r="M51" s="11"/>
      <c r="N51" s="11"/>
      <c r="O51" s="11"/>
    </row>
    <row r="52" customFormat="false" ht="15" hidden="false" customHeight="false" outlineLevel="0" collapsed="false">
      <c r="G52" s="11"/>
      <c r="H52" s="11"/>
      <c r="I52" s="170"/>
      <c r="J52" s="170"/>
      <c r="K52" s="170"/>
      <c r="L52" s="170"/>
      <c r="M52" s="170"/>
      <c r="N52" s="170"/>
      <c r="O52" s="170"/>
    </row>
    <row r="53" customFormat="false" ht="15" hidden="false" customHeight="false" outlineLevel="0" collapsed="false">
      <c r="H53" s="167"/>
      <c r="I53" s="24"/>
      <c r="J53" s="11"/>
      <c r="K53" s="11"/>
      <c r="L53" s="11"/>
      <c r="M53" s="24"/>
      <c r="N53" s="11"/>
      <c r="O53" s="24"/>
    </row>
    <row r="54" customFormat="false" ht="15" hidden="false" customHeight="false" outlineLevel="0" collapsed="false">
      <c r="G54" s="11"/>
      <c r="H54" s="11"/>
      <c r="I54" s="168"/>
      <c r="J54" s="168"/>
      <c r="K54" s="168"/>
      <c r="L54" s="168"/>
      <c r="M54" s="168"/>
      <c r="N54" s="168"/>
      <c r="O54" s="168"/>
    </row>
    <row r="55" customFormat="false" ht="15" hidden="false" customHeight="false" outlineLevel="0" collapsed="false">
      <c r="H55" s="167"/>
      <c r="I55" s="24"/>
      <c r="J55" s="29"/>
      <c r="K55" s="29"/>
      <c r="L55" s="11"/>
      <c r="M55" s="24"/>
      <c r="N55" s="11"/>
      <c r="O55" s="24"/>
    </row>
    <row r="56" customFormat="false" ht="15" hidden="false" customHeight="false" outlineLevel="0" collapsed="false">
      <c r="G56" s="11"/>
      <c r="H56" s="11"/>
      <c r="I56" s="169"/>
      <c r="J56" s="166"/>
      <c r="K56" s="166"/>
      <c r="L56" s="169"/>
      <c r="M56" s="169"/>
      <c r="N56" s="169"/>
      <c r="O56" s="169"/>
    </row>
    <row r="57" customFormat="false" ht="15" hidden="false" customHeight="false" outlineLevel="0" collapsed="false">
      <c r="G57" s="11"/>
      <c r="H57" s="11"/>
      <c r="I57" s="11"/>
      <c r="J57" s="11"/>
      <c r="K57" s="11"/>
      <c r="L57" s="11"/>
      <c r="M57" s="11"/>
      <c r="N57" s="11"/>
      <c r="O57" s="11"/>
    </row>
    <row r="58" customFormat="false" ht="15" hidden="false" customHeight="false" outlineLevel="0" collapsed="false">
      <c r="G58" s="11"/>
      <c r="H58" s="11"/>
      <c r="I58" s="11"/>
      <c r="J58" s="11"/>
      <c r="K58" s="11"/>
      <c r="L58" s="11"/>
      <c r="M58" s="11"/>
      <c r="N58" s="11"/>
      <c r="O58" s="11"/>
    </row>
    <row r="59" customFormat="false" ht="15" hidden="false" customHeight="false" outlineLevel="0" collapsed="false">
      <c r="G59" s="11"/>
      <c r="H59" s="11"/>
      <c r="I59" s="11"/>
      <c r="J59" s="11"/>
      <c r="K59" s="11"/>
      <c r="L59" s="11"/>
      <c r="M59" s="11"/>
      <c r="N59" s="11"/>
      <c r="O59" s="11"/>
    </row>
    <row r="60" customFormat="false" ht="15" hidden="false" customHeight="false" outlineLevel="0" collapsed="false">
      <c r="G60" s="11"/>
      <c r="H60" s="11"/>
      <c r="I60" s="11"/>
      <c r="J60" s="11"/>
      <c r="K60" s="11"/>
      <c r="L60" s="11"/>
      <c r="M60" s="11"/>
      <c r="N60" s="11"/>
      <c r="O60" s="11"/>
    </row>
    <row r="61" customFormat="false" ht="15" hidden="false" customHeight="false" outlineLevel="0" collapsed="false">
      <c r="G61" s="11"/>
      <c r="H61" s="11"/>
      <c r="I61" s="11"/>
      <c r="J61" s="11"/>
      <c r="K61" s="11"/>
      <c r="L61" s="11"/>
      <c r="M61" s="11"/>
      <c r="N61" s="11"/>
      <c r="O61" s="11"/>
    </row>
    <row r="62" customFormat="false" ht="15" hidden="false" customHeight="false" outlineLevel="0" collapsed="false">
      <c r="G62" s="11"/>
      <c r="H62" s="11"/>
      <c r="I62" s="170"/>
      <c r="J62" s="170"/>
      <c r="K62" s="170"/>
      <c r="L62" s="170"/>
      <c r="M62" s="170"/>
      <c r="N62" s="170"/>
      <c r="O62" s="170"/>
    </row>
    <row r="63" customFormat="false" ht="15" hidden="false" customHeight="false" outlineLevel="0" collapsed="false">
      <c r="H63" s="167"/>
      <c r="I63" s="24"/>
      <c r="J63" s="29"/>
      <c r="K63" s="29"/>
      <c r="L63" s="11"/>
      <c r="M63" s="24"/>
      <c r="N63" s="11"/>
      <c r="O63" s="24"/>
    </row>
    <row r="64" customFormat="false" ht="15" hidden="false" customHeight="false" outlineLevel="0" collapsed="false">
      <c r="G64" s="11"/>
      <c r="H64" s="11"/>
      <c r="I64" s="169"/>
      <c r="J64" s="169"/>
      <c r="K64" s="169"/>
      <c r="L64" s="169"/>
      <c r="M64" s="169"/>
      <c r="N64" s="169"/>
      <c r="O64" s="169"/>
    </row>
    <row r="65" customFormat="false" ht="15" hidden="false" customHeight="false" outlineLevel="0" collapsed="false">
      <c r="G65" s="11"/>
      <c r="H65" s="11"/>
      <c r="I65" s="11"/>
      <c r="J65" s="11"/>
      <c r="K65" s="11"/>
      <c r="L65" s="11"/>
      <c r="M65" s="11"/>
      <c r="N65" s="11"/>
      <c r="O65" s="11"/>
    </row>
    <row r="66" customFormat="false" ht="15" hidden="false" customHeight="false" outlineLevel="0" collapsed="false">
      <c r="G66" s="11"/>
      <c r="H66" s="11"/>
      <c r="I66" s="11"/>
      <c r="J66" s="11"/>
      <c r="K66" s="11"/>
      <c r="L66" s="11"/>
      <c r="M66" s="11"/>
      <c r="N66" s="11"/>
      <c r="O66" s="11"/>
    </row>
    <row r="67" customFormat="false" ht="15" hidden="false" customHeight="false" outlineLevel="0" collapsed="false">
      <c r="G67" s="11"/>
      <c r="H67" s="11"/>
      <c r="I67" s="11"/>
      <c r="J67" s="11"/>
      <c r="K67" s="11"/>
      <c r="L67" s="11"/>
      <c r="M67" s="11"/>
      <c r="N67" s="11"/>
      <c r="O67" s="11"/>
    </row>
    <row r="68" customFormat="false" ht="15" hidden="false" customHeight="false" outlineLevel="0" collapsed="false">
      <c r="G68" s="11"/>
      <c r="H68" s="11"/>
      <c r="I68" s="11"/>
      <c r="J68" s="11"/>
      <c r="K68" s="11"/>
      <c r="L68" s="11"/>
      <c r="M68" s="11"/>
      <c r="N68" s="11"/>
      <c r="O68" s="11"/>
    </row>
    <row r="69" customFormat="false" ht="15" hidden="false" customHeight="false" outlineLevel="0" collapsed="false">
      <c r="G69" s="11"/>
      <c r="H69" s="11"/>
      <c r="I69" s="11"/>
      <c r="J69" s="11"/>
      <c r="K69" s="11"/>
      <c r="L69" s="11"/>
      <c r="M69" s="11"/>
      <c r="N69" s="11"/>
      <c r="O69" s="11"/>
    </row>
    <row r="70" customFormat="false" ht="15" hidden="false" customHeight="false" outlineLevel="0" collapsed="false">
      <c r="G70" s="11"/>
      <c r="H70" s="11"/>
      <c r="I70" s="170"/>
      <c r="J70" s="170"/>
      <c r="K70" s="170"/>
      <c r="L70" s="170"/>
      <c r="M70" s="170"/>
      <c r="N70" s="170"/>
      <c r="O70" s="170"/>
    </row>
    <row r="71" customFormat="false" ht="15" hidden="false" customHeight="false" outlineLevel="0" collapsed="false">
      <c r="H71" s="167"/>
      <c r="I71" s="24"/>
      <c r="J71" s="29"/>
      <c r="K71" s="29"/>
      <c r="L71" s="11"/>
      <c r="M71" s="24"/>
      <c r="N71" s="11"/>
      <c r="O71" s="24"/>
    </row>
    <row r="72" customFormat="false" ht="15" hidden="false" customHeight="false" outlineLevel="0" collapsed="false">
      <c r="G72" s="11"/>
      <c r="H72" s="11"/>
      <c r="I72" s="169"/>
      <c r="J72" s="166"/>
      <c r="K72" s="166"/>
      <c r="L72" s="169"/>
      <c r="M72" s="169"/>
      <c r="N72" s="169"/>
      <c r="O72" s="169"/>
    </row>
    <row r="73" customFormat="false" ht="15" hidden="false" customHeight="false" outlineLevel="0" collapsed="false">
      <c r="G73" s="11"/>
      <c r="H73" s="11"/>
      <c r="I73" s="11"/>
      <c r="J73" s="11"/>
      <c r="K73" s="11"/>
      <c r="L73" s="11"/>
      <c r="M73" s="11"/>
      <c r="N73" s="11"/>
      <c r="O73" s="11"/>
    </row>
    <row r="74" customFormat="false" ht="15" hidden="false" customHeight="false" outlineLevel="0" collapsed="false">
      <c r="G74" s="11"/>
      <c r="H74" s="11"/>
      <c r="I74" s="170"/>
      <c r="J74" s="170"/>
      <c r="K74" s="170"/>
      <c r="L74" s="170"/>
      <c r="M74" s="170"/>
      <c r="N74" s="170"/>
      <c r="O74" s="170"/>
    </row>
    <row r="75" customFormat="false" ht="15" hidden="false" customHeight="false" outlineLevel="0" collapsed="false">
      <c r="H75" s="167"/>
      <c r="I75" s="24"/>
      <c r="J75" s="29"/>
      <c r="K75" s="29"/>
      <c r="L75" s="11"/>
      <c r="M75" s="24"/>
      <c r="N75" s="11"/>
      <c r="O75" s="24"/>
    </row>
    <row r="76" customFormat="false" ht="15" hidden="false" customHeight="false" outlineLevel="0" collapsed="false">
      <c r="G76" s="11"/>
      <c r="H76" s="11"/>
      <c r="I76" s="168"/>
      <c r="J76" s="168"/>
      <c r="K76" s="168"/>
      <c r="L76" s="168"/>
      <c r="M76" s="168"/>
      <c r="N76" s="168"/>
      <c r="O76" s="168"/>
    </row>
    <row r="77" customFormat="false" ht="15" hidden="false" customHeight="false" outlineLevel="0" collapsed="false">
      <c r="H77" s="167"/>
      <c r="I77" s="24"/>
      <c r="J77" s="11"/>
      <c r="K77" s="11"/>
      <c r="L77" s="11"/>
      <c r="M77" s="24"/>
      <c r="N77" s="11"/>
      <c r="O77" s="24"/>
    </row>
  </sheetData>
  <mergeCells count="15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</mergeCells>
  <conditionalFormatting sqref="D2:D15">
    <cfRule type="expression" priority="2" aboveAverage="0" equalAverage="0" bottom="0" percent="0" rank="0" text="" dxfId="15">
      <formula>COUNTIF($C$5:$C3108,C2)&gt;1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3" activeCellId="0" sqref="BI3"/>
    </sheetView>
  </sheetViews>
  <sheetFormatPr defaultColWidth="8.7421875" defaultRowHeight="15" customHeight="true" zeroHeight="false" outlineLevelRow="0" outlineLevelCol="0"/>
  <sheetData>
    <row r="1" customFormat="false" ht="15" hidden="false" customHeight="false" outlineLevel="0" collapsed="false">
      <c r="A1" s="171" t="s">
        <v>1287</v>
      </c>
      <c r="B1" s="171" t="s">
        <v>1288</v>
      </c>
      <c r="C1" s="171" t="s">
        <v>1289</v>
      </c>
      <c r="D1" s="171" t="s">
        <v>1290</v>
      </c>
      <c r="E1" s="171" t="s">
        <v>1291</v>
      </c>
      <c r="F1" s="171" t="s">
        <v>1101</v>
      </c>
      <c r="G1" s="171" t="s">
        <v>1102</v>
      </c>
    </row>
    <row r="2" customFormat="false" ht="15" hidden="false" customHeight="false" outlineLevel="0" collapsed="false">
      <c r="A2" s="171" t="s">
        <v>1292</v>
      </c>
      <c r="B2" s="171" t="s">
        <v>1288</v>
      </c>
      <c r="C2" s="171" t="s">
        <v>1293</v>
      </c>
      <c r="D2" s="171" t="s">
        <v>1294</v>
      </c>
      <c r="E2" s="171" t="s">
        <v>1291</v>
      </c>
      <c r="F2" s="171" t="s">
        <v>1295</v>
      </c>
      <c r="G2" s="171" t="s">
        <v>295</v>
      </c>
    </row>
    <row r="3" customFormat="false" ht="15" hidden="false" customHeight="false" outlineLevel="0" collapsed="false">
      <c r="A3" s="171" t="s">
        <v>113</v>
      </c>
      <c r="B3" s="171" t="s">
        <v>1288</v>
      </c>
      <c r="C3" s="171" t="s">
        <v>1296</v>
      </c>
      <c r="D3" s="171" t="s">
        <v>1297</v>
      </c>
      <c r="E3" s="171" t="s">
        <v>1291</v>
      </c>
      <c r="F3" s="171" t="s">
        <v>1298</v>
      </c>
      <c r="G3" s="171" t="s">
        <v>312</v>
      </c>
    </row>
    <row r="4" customFormat="false" ht="15" hidden="false" customHeight="false" outlineLevel="0" collapsed="false">
      <c r="A4" s="171" t="s">
        <v>155</v>
      </c>
      <c r="B4" s="171" t="s">
        <v>1288</v>
      </c>
      <c r="C4" s="171" t="s">
        <v>1299</v>
      </c>
      <c r="D4" s="171" t="s">
        <v>1300</v>
      </c>
      <c r="E4" s="171" t="s">
        <v>1291</v>
      </c>
      <c r="F4" s="171" t="s">
        <v>523</v>
      </c>
      <c r="G4" s="171" t="s">
        <v>288</v>
      </c>
    </row>
    <row r="5" customFormat="false" ht="15" hidden="false" customHeight="false" outlineLevel="0" collapsed="false">
      <c r="A5" s="171" t="s">
        <v>1301</v>
      </c>
      <c r="B5" s="171" t="s">
        <v>1288</v>
      </c>
      <c r="C5" s="171" t="s">
        <v>1302</v>
      </c>
      <c r="D5" s="171" t="s">
        <v>1303</v>
      </c>
      <c r="E5" s="171" t="s">
        <v>1291</v>
      </c>
      <c r="F5" s="171" t="s">
        <v>1304</v>
      </c>
      <c r="G5" s="171" t="s">
        <v>642</v>
      </c>
    </row>
    <row r="6" customFormat="false" ht="15" hidden="false" customHeight="false" outlineLevel="0" collapsed="false">
      <c r="A6" s="171" t="s">
        <v>1305</v>
      </c>
      <c r="B6" s="171" t="s">
        <v>1306</v>
      </c>
      <c r="C6" s="171" t="s">
        <v>1307</v>
      </c>
      <c r="D6" s="171" t="s">
        <v>1308</v>
      </c>
      <c r="E6" s="171" t="s">
        <v>1291</v>
      </c>
      <c r="F6" s="171" t="s">
        <v>295</v>
      </c>
      <c r="G6" s="171" t="s">
        <v>295</v>
      </c>
    </row>
    <row r="7" customFormat="false" ht="15" hidden="false" customHeight="false" outlineLevel="0" collapsed="false">
      <c r="A7" s="171" t="s">
        <v>1309</v>
      </c>
      <c r="B7" s="171" t="s">
        <v>1306</v>
      </c>
      <c r="C7" s="171" t="s">
        <v>1310</v>
      </c>
      <c r="D7" s="171" t="s">
        <v>1311</v>
      </c>
      <c r="E7" s="171" t="s">
        <v>1291</v>
      </c>
      <c r="F7" s="171" t="s">
        <v>1312</v>
      </c>
      <c r="G7" s="171" t="s">
        <v>437</v>
      </c>
    </row>
    <row r="8" customFormat="false" ht="15" hidden="false" customHeight="false" outlineLevel="0" collapsed="false">
      <c r="A8" s="171" t="s">
        <v>1313</v>
      </c>
      <c r="B8" s="171" t="s">
        <v>1288</v>
      </c>
      <c r="C8" s="171" t="s">
        <v>1314</v>
      </c>
      <c r="D8" s="171" t="s">
        <v>1315</v>
      </c>
      <c r="E8" s="171" t="s">
        <v>1291</v>
      </c>
      <c r="F8" s="171" t="s">
        <v>1316</v>
      </c>
      <c r="G8" s="171" t="s">
        <v>710</v>
      </c>
    </row>
    <row r="9" customFormat="false" ht="15" hidden="false" customHeight="false" outlineLevel="0" collapsed="false">
      <c r="A9" s="171" t="s">
        <v>51</v>
      </c>
      <c r="B9" s="171" t="s">
        <v>1288</v>
      </c>
      <c r="C9" s="171" t="s">
        <v>1317</v>
      </c>
      <c r="D9" s="171" t="s">
        <v>842</v>
      </c>
      <c r="E9" s="171" t="s">
        <v>1291</v>
      </c>
      <c r="F9" s="171" t="s">
        <v>844</v>
      </c>
      <c r="G9" s="171" t="s">
        <v>281</v>
      </c>
    </row>
    <row r="10" customFormat="false" ht="15" hidden="false" customHeight="false" outlineLevel="0" collapsed="false">
      <c r="A10" s="171" t="s">
        <v>1318</v>
      </c>
      <c r="B10" s="171" t="s">
        <v>1306</v>
      </c>
      <c r="C10" s="171" t="s">
        <v>1319</v>
      </c>
      <c r="D10" s="171" t="s">
        <v>1320</v>
      </c>
      <c r="E10" s="171" t="s">
        <v>1291</v>
      </c>
      <c r="F10" s="171" t="s">
        <v>1321</v>
      </c>
      <c r="G10" s="171" t="s">
        <v>1322</v>
      </c>
    </row>
    <row r="11" customFormat="false" ht="15" hidden="false" customHeight="false" outlineLevel="0" collapsed="false">
      <c r="A11" s="171" t="s">
        <v>1323</v>
      </c>
      <c r="B11" s="171" t="s">
        <v>1288</v>
      </c>
      <c r="C11" s="171" t="s">
        <v>1324</v>
      </c>
      <c r="D11" s="171" t="s">
        <v>1325</v>
      </c>
      <c r="E11" s="171" t="s">
        <v>1291</v>
      </c>
      <c r="F11" s="171" t="s">
        <v>1326</v>
      </c>
      <c r="G11" s="171" t="s">
        <v>173</v>
      </c>
    </row>
    <row r="12" customFormat="false" ht="15" hidden="false" customHeight="false" outlineLevel="0" collapsed="false">
      <c r="A12" s="171" t="s">
        <v>1327</v>
      </c>
      <c r="B12" s="171" t="s">
        <v>1306</v>
      </c>
      <c r="C12" s="171" t="s">
        <v>1328</v>
      </c>
      <c r="D12" s="171" t="s">
        <v>1329</v>
      </c>
      <c r="E12" s="171" t="s">
        <v>1291</v>
      </c>
      <c r="F12" s="171" t="s">
        <v>1330</v>
      </c>
      <c r="G12" s="171" t="s">
        <v>454</v>
      </c>
    </row>
    <row r="13" customFormat="false" ht="15" hidden="false" customHeight="false" outlineLevel="0" collapsed="false">
      <c r="A13" s="171" t="s">
        <v>1331</v>
      </c>
      <c r="B13" s="171" t="s">
        <v>1306</v>
      </c>
      <c r="C13" s="171" t="s">
        <v>1332</v>
      </c>
      <c r="D13" s="171" t="s">
        <v>1333</v>
      </c>
      <c r="E13" s="171" t="s">
        <v>1291</v>
      </c>
      <c r="F13" s="171" t="s">
        <v>1334</v>
      </c>
      <c r="G13" s="171" t="s">
        <v>1102</v>
      </c>
    </row>
    <row r="14" customFormat="false" ht="15" hidden="false" customHeight="false" outlineLevel="0" collapsed="false">
      <c r="A14" s="171" t="s">
        <v>1335</v>
      </c>
      <c r="B14" s="171" t="s">
        <v>1288</v>
      </c>
      <c r="C14" s="171" t="s">
        <v>1336</v>
      </c>
      <c r="D14" s="171" t="s">
        <v>1337</v>
      </c>
      <c r="E14" s="171" t="s">
        <v>1291</v>
      </c>
      <c r="F14" s="171" t="s">
        <v>1338</v>
      </c>
      <c r="G14" s="171" t="s">
        <v>1339</v>
      </c>
    </row>
    <row r="15" customFormat="false" ht="15" hidden="false" customHeight="false" outlineLevel="0" collapsed="false">
      <c r="A15" s="171" t="s">
        <v>1340</v>
      </c>
      <c r="B15" s="171" t="s">
        <v>1306</v>
      </c>
      <c r="C15" s="171" t="s">
        <v>1341</v>
      </c>
      <c r="D15" s="171" t="s">
        <v>1342</v>
      </c>
      <c r="E15" s="171" t="s">
        <v>1291</v>
      </c>
      <c r="F15" s="171" t="s">
        <v>1343</v>
      </c>
      <c r="G15" s="171" t="s">
        <v>1344</v>
      </c>
    </row>
    <row r="16" customFormat="false" ht="15" hidden="false" customHeight="false" outlineLevel="0" collapsed="false">
      <c r="A16" s="171" t="s">
        <v>1345</v>
      </c>
      <c r="B16" s="171" t="s">
        <v>1288</v>
      </c>
      <c r="C16" s="171" t="s">
        <v>1346</v>
      </c>
      <c r="D16" s="171" t="s">
        <v>1347</v>
      </c>
      <c r="E16" s="171" t="s">
        <v>1291</v>
      </c>
      <c r="F16" s="171" t="s">
        <v>1348</v>
      </c>
      <c r="G16" s="171" t="s">
        <v>173</v>
      </c>
    </row>
    <row r="17" customFormat="false" ht="15" hidden="false" customHeight="false" outlineLevel="0" collapsed="false">
      <c r="A17" s="171" t="s">
        <v>1349</v>
      </c>
      <c r="B17" s="171" t="s">
        <v>1288</v>
      </c>
      <c r="C17" s="171" t="s">
        <v>1350</v>
      </c>
      <c r="D17" s="171" t="s">
        <v>1351</v>
      </c>
      <c r="E17" s="171" t="s">
        <v>1291</v>
      </c>
      <c r="F17" s="171" t="s">
        <v>1352</v>
      </c>
      <c r="G17" s="171" t="s">
        <v>437</v>
      </c>
    </row>
    <row r="18" customFormat="false" ht="15" hidden="false" customHeight="false" outlineLevel="0" collapsed="false">
      <c r="A18" s="171" t="s">
        <v>1030</v>
      </c>
      <c r="B18" s="171" t="s">
        <v>1288</v>
      </c>
      <c r="C18" s="171" t="s">
        <v>1353</v>
      </c>
      <c r="D18" s="171" t="s">
        <v>1033</v>
      </c>
      <c r="E18" s="171" t="s">
        <v>1291</v>
      </c>
      <c r="F18" s="171" t="s">
        <v>1035</v>
      </c>
      <c r="G18" s="171" t="s">
        <v>677</v>
      </c>
    </row>
    <row r="19" customFormat="false" ht="15" hidden="false" customHeight="false" outlineLevel="0" collapsed="false">
      <c r="A19" s="171" t="s">
        <v>1354</v>
      </c>
      <c r="B19" s="171" t="s">
        <v>1288</v>
      </c>
      <c r="C19" s="171" t="s">
        <v>1355</v>
      </c>
      <c r="D19" s="171" t="s">
        <v>1356</v>
      </c>
      <c r="E19" s="171" t="s">
        <v>1291</v>
      </c>
      <c r="F19" s="171" t="s">
        <v>838</v>
      </c>
      <c r="G19" s="171" t="s">
        <v>839</v>
      </c>
    </row>
    <row r="20" customFormat="false" ht="15" hidden="false" customHeight="false" outlineLevel="0" collapsed="false">
      <c r="A20" s="171" t="s">
        <v>1357</v>
      </c>
      <c r="B20" s="171" t="s">
        <v>1288</v>
      </c>
      <c r="C20" s="171" t="s">
        <v>1358</v>
      </c>
      <c r="D20" s="171" t="s">
        <v>1359</v>
      </c>
      <c r="E20" s="171" t="s">
        <v>1291</v>
      </c>
      <c r="F20" s="171" t="s">
        <v>1360</v>
      </c>
      <c r="G20" s="171" t="s">
        <v>396</v>
      </c>
    </row>
    <row r="21" customFormat="false" ht="15" hidden="false" customHeight="false" outlineLevel="0" collapsed="false">
      <c r="A21" s="171" t="s">
        <v>1361</v>
      </c>
      <c r="B21" s="171" t="s">
        <v>1306</v>
      </c>
      <c r="C21" s="171" t="s">
        <v>1362</v>
      </c>
      <c r="D21" s="171" t="s">
        <v>1363</v>
      </c>
      <c r="E21" s="171" t="s">
        <v>1291</v>
      </c>
      <c r="F21" s="171" t="s">
        <v>1364</v>
      </c>
      <c r="G21" s="171" t="s">
        <v>1365</v>
      </c>
    </row>
    <row r="22" customFormat="false" ht="15" hidden="false" customHeight="false" outlineLevel="0" collapsed="false">
      <c r="A22" s="171" t="s">
        <v>1366</v>
      </c>
      <c r="B22" s="171" t="s">
        <v>1288</v>
      </c>
      <c r="C22" s="171" t="s">
        <v>1367</v>
      </c>
      <c r="D22" s="171" t="s">
        <v>1368</v>
      </c>
      <c r="E22" s="171" t="s">
        <v>1291</v>
      </c>
      <c r="F22" s="171" t="s">
        <v>1369</v>
      </c>
      <c r="G22" s="171" t="s">
        <v>240</v>
      </c>
    </row>
    <row r="23" customFormat="false" ht="15" hidden="false" customHeight="false" outlineLevel="0" collapsed="false">
      <c r="A23" s="171" t="s">
        <v>1370</v>
      </c>
      <c r="B23" s="171" t="s">
        <v>1306</v>
      </c>
      <c r="C23" s="171" t="s">
        <v>1371</v>
      </c>
      <c r="D23" s="171" t="s">
        <v>1372</v>
      </c>
      <c r="E23" s="171" t="s">
        <v>1291</v>
      </c>
      <c r="F23" s="171" t="s">
        <v>1326</v>
      </c>
      <c r="G23" s="171" t="s">
        <v>173</v>
      </c>
    </row>
    <row r="24" customFormat="false" ht="15" hidden="false" customHeight="false" outlineLevel="0" collapsed="false">
      <c r="A24" s="171" t="s">
        <v>1373</v>
      </c>
      <c r="B24" s="171" t="s">
        <v>1288</v>
      </c>
      <c r="C24" s="171" t="s">
        <v>1374</v>
      </c>
      <c r="D24" s="171" t="s">
        <v>1375</v>
      </c>
      <c r="E24" s="171" t="s">
        <v>1291</v>
      </c>
      <c r="F24" s="171" t="s">
        <v>946</v>
      </c>
      <c r="G24" s="171" t="s">
        <v>710</v>
      </c>
    </row>
    <row r="25" customFormat="false" ht="15" hidden="false" customHeight="false" outlineLevel="0" collapsed="false">
      <c r="A25" s="171" t="s">
        <v>1376</v>
      </c>
      <c r="B25" s="171" t="s">
        <v>1306</v>
      </c>
      <c r="C25" s="171" t="s">
        <v>1377</v>
      </c>
      <c r="D25" s="171" t="s">
        <v>1378</v>
      </c>
      <c r="E25" s="171" t="s">
        <v>1291</v>
      </c>
      <c r="F25" s="171" t="s">
        <v>1316</v>
      </c>
      <c r="G25" s="171" t="s">
        <v>710</v>
      </c>
    </row>
    <row r="26" customFormat="false" ht="15" hidden="false" customHeight="false" outlineLevel="0" collapsed="false">
      <c r="A26" s="171" t="s">
        <v>59</v>
      </c>
      <c r="B26" s="171" t="s">
        <v>1288</v>
      </c>
      <c r="C26" s="171" t="s">
        <v>1379</v>
      </c>
      <c r="D26" s="171" t="s">
        <v>1380</v>
      </c>
      <c r="E26" s="171" t="s">
        <v>1291</v>
      </c>
      <c r="F26" s="171" t="s">
        <v>855</v>
      </c>
      <c r="G26" s="171" t="s">
        <v>710</v>
      </c>
    </row>
    <row r="27" customFormat="false" ht="15" hidden="false" customHeight="false" outlineLevel="0" collapsed="false">
      <c r="A27" s="171" t="s">
        <v>1381</v>
      </c>
      <c r="B27" s="171" t="s">
        <v>1288</v>
      </c>
      <c r="C27" s="171" t="s">
        <v>1382</v>
      </c>
      <c r="D27" s="171" t="s">
        <v>1383</v>
      </c>
      <c r="E27" s="171" t="s">
        <v>1291</v>
      </c>
      <c r="F27" s="171" t="s">
        <v>1384</v>
      </c>
      <c r="G27" s="171" t="s">
        <v>173</v>
      </c>
    </row>
    <row r="28" customFormat="false" ht="15" hidden="false" customHeight="false" outlineLevel="0" collapsed="false">
      <c r="A28" s="171" t="s">
        <v>61</v>
      </c>
      <c r="B28" s="171" t="s">
        <v>1288</v>
      </c>
      <c r="C28" s="171" t="s">
        <v>1385</v>
      </c>
      <c r="D28" s="171" t="s">
        <v>1386</v>
      </c>
      <c r="E28" s="171" t="s">
        <v>1291</v>
      </c>
      <c r="F28" s="171" t="s">
        <v>1189</v>
      </c>
      <c r="G28" s="171" t="s">
        <v>952</v>
      </c>
    </row>
    <row r="29" customFormat="false" ht="15" hidden="false" customHeight="false" outlineLevel="0" collapsed="false">
      <c r="A29" s="171" t="s">
        <v>1387</v>
      </c>
      <c r="B29" s="171" t="s">
        <v>1306</v>
      </c>
      <c r="C29" s="171" t="s">
        <v>1388</v>
      </c>
      <c r="D29" s="171" t="s">
        <v>1389</v>
      </c>
      <c r="E29" s="171" t="s">
        <v>1291</v>
      </c>
      <c r="F29" s="171" t="s">
        <v>1390</v>
      </c>
      <c r="G29" s="171" t="s">
        <v>747</v>
      </c>
    </row>
    <row r="30" customFormat="false" ht="15" hidden="false" customHeight="false" outlineLevel="0" collapsed="false">
      <c r="A30" s="171" t="s">
        <v>1391</v>
      </c>
      <c r="B30" s="171" t="s">
        <v>1288</v>
      </c>
      <c r="C30" s="171" t="s">
        <v>1392</v>
      </c>
      <c r="D30" s="171" t="s">
        <v>1393</v>
      </c>
      <c r="E30" s="171" t="s">
        <v>1291</v>
      </c>
      <c r="F30" s="171" t="s">
        <v>425</v>
      </c>
      <c r="G30" s="171" t="s">
        <v>295</v>
      </c>
    </row>
    <row r="31" customFormat="false" ht="15" hidden="false" customHeight="false" outlineLevel="0" collapsed="false">
      <c r="A31" s="171" t="s">
        <v>1394</v>
      </c>
      <c r="B31" s="171" t="s">
        <v>1288</v>
      </c>
      <c r="C31" s="171" t="s">
        <v>1395</v>
      </c>
      <c r="D31" s="171" t="s">
        <v>1396</v>
      </c>
      <c r="E31" s="171" t="s">
        <v>1291</v>
      </c>
      <c r="F31" s="171" t="s">
        <v>547</v>
      </c>
      <c r="G31" s="171" t="s">
        <v>295</v>
      </c>
    </row>
    <row r="32" customFormat="false" ht="15" hidden="false" customHeight="false" outlineLevel="0" collapsed="false">
      <c r="A32" s="171" t="s">
        <v>1397</v>
      </c>
      <c r="B32" s="171" t="s">
        <v>1288</v>
      </c>
      <c r="C32" s="171" t="s">
        <v>1398</v>
      </c>
      <c r="D32" s="171" t="s">
        <v>1399</v>
      </c>
      <c r="E32" s="171" t="s">
        <v>1291</v>
      </c>
      <c r="F32" s="171" t="s">
        <v>1006</v>
      </c>
      <c r="G32" s="171" t="s">
        <v>240</v>
      </c>
    </row>
    <row r="33" customFormat="false" ht="15" hidden="false" customHeight="false" outlineLevel="0" collapsed="false">
      <c r="A33" s="171" t="s">
        <v>1400</v>
      </c>
      <c r="B33" s="171" t="s">
        <v>1288</v>
      </c>
      <c r="C33" s="171" t="s">
        <v>1401</v>
      </c>
      <c r="D33" s="171" t="s">
        <v>1402</v>
      </c>
      <c r="E33" s="171" t="s">
        <v>1291</v>
      </c>
      <c r="F33" s="171" t="s">
        <v>425</v>
      </c>
      <c r="G33" s="171" t="s">
        <v>295</v>
      </c>
    </row>
    <row r="34" customFormat="false" ht="15" hidden="false" customHeight="false" outlineLevel="0" collapsed="false">
      <c r="A34" s="171" t="s">
        <v>1403</v>
      </c>
      <c r="B34" s="171" t="s">
        <v>1288</v>
      </c>
      <c r="C34" s="171" t="s">
        <v>1404</v>
      </c>
      <c r="D34" s="171" t="s">
        <v>1405</v>
      </c>
      <c r="E34" s="171" t="s">
        <v>1291</v>
      </c>
      <c r="F34" s="171" t="s">
        <v>1406</v>
      </c>
      <c r="G34" s="171" t="s">
        <v>240</v>
      </c>
    </row>
    <row r="35" customFormat="false" ht="15" hidden="false" customHeight="false" outlineLevel="0" collapsed="false">
      <c r="A35" s="171" t="s">
        <v>97</v>
      </c>
      <c r="B35" s="171" t="s">
        <v>1288</v>
      </c>
      <c r="C35" s="171" t="s">
        <v>1407</v>
      </c>
      <c r="D35" s="171" t="s">
        <v>1408</v>
      </c>
      <c r="E35" s="171" t="s">
        <v>1291</v>
      </c>
      <c r="F35" s="171" t="s">
        <v>1212</v>
      </c>
      <c r="G35" s="171" t="s">
        <v>260</v>
      </c>
    </row>
    <row r="36" customFormat="false" ht="15" hidden="false" customHeight="false" outlineLevel="0" collapsed="false">
      <c r="A36" s="171" t="s">
        <v>1409</v>
      </c>
      <c r="B36" s="171" t="s">
        <v>1306</v>
      </c>
      <c r="C36" s="171" t="s">
        <v>1410</v>
      </c>
      <c r="D36" s="171" t="s">
        <v>1411</v>
      </c>
      <c r="E36" s="171" t="s">
        <v>1291</v>
      </c>
      <c r="F36" s="171" t="s">
        <v>1343</v>
      </c>
      <c r="G36" s="171" t="s">
        <v>1344</v>
      </c>
    </row>
    <row r="37" customFormat="false" ht="15" hidden="false" customHeight="false" outlineLevel="0" collapsed="false">
      <c r="A37" s="171" t="s">
        <v>150</v>
      </c>
      <c r="B37" s="171" t="s">
        <v>1288</v>
      </c>
      <c r="C37" s="171" t="s">
        <v>1412</v>
      </c>
      <c r="D37" s="171" t="s">
        <v>1413</v>
      </c>
      <c r="E37" s="171" t="s">
        <v>1291</v>
      </c>
      <c r="F37" s="171" t="s">
        <v>447</v>
      </c>
      <c r="G37" s="171" t="s">
        <v>677</v>
      </c>
    </row>
    <row r="38" customFormat="false" ht="15" hidden="false" customHeight="false" outlineLevel="0" collapsed="false">
      <c r="A38" s="171" t="s">
        <v>1414</v>
      </c>
      <c r="B38" s="171" t="s">
        <v>1288</v>
      </c>
      <c r="C38" s="171" t="s">
        <v>1415</v>
      </c>
      <c r="D38" s="171" t="s">
        <v>1416</v>
      </c>
      <c r="E38" s="171" t="s">
        <v>1291</v>
      </c>
      <c r="F38" s="171" t="s">
        <v>1000</v>
      </c>
      <c r="G38" s="171" t="s">
        <v>320</v>
      </c>
    </row>
    <row r="39" customFormat="false" ht="15" hidden="false" customHeight="false" outlineLevel="0" collapsed="false">
      <c r="A39" s="171" t="s">
        <v>1417</v>
      </c>
      <c r="B39" s="171" t="s">
        <v>1306</v>
      </c>
      <c r="C39" s="171" t="s">
        <v>1418</v>
      </c>
      <c r="D39" s="171" t="s">
        <v>1419</v>
      </c>
      <c r="E39" s="171" t="s">
        <v>1291</v>
      </c>
      <c r="F39" s="171" t="s">
        <v>1140</v>
      </c>
      <c r="G39" s="171" t="s">
        <v>1102</v>
      </c>
    </row>
    <row r="40" customFormat="false" ht="15" hidden="false" customHeight="false" outlineLevel="0" collapsed="false">
      <c r="A40" s="171" t="s">
        <v>1420</v>
      </c>
      <c r="B40" s="171" t="s">
        <v>1288</v>
      </c>
      <c r="C40" s="171" t="s">
        <v>1421</v>
      </c>
      <c r="D40" s="171" t="s">
        <v>1422</v>
      </c>
      <c r="E40" s="171" t="s">
        <v>1291</v>
      </c>
      <c r="F40" s="171" t="s">
        <v>1423</v>
      </c>
      <c r="G40" s="171" t="s">
        <v>260</v>
      </c>
    </row>
    <row r="41" customFormat="false" ht="15" hidden="false" customHeight="false" outlineLevel="0" collapsed="false">
      <c r="A41" s="171" t="s">
        <v>1424</v>
      </c>
      <c r="B41" s="171" t="s">
        <v>1306</v>
      </c>
      <c r="C41" s="171" t="s">
        <v>1425</v>
      </c>
      <c r="D41" s="171" t="s">
        <v>1426</v>
      </c>
      <c r="E41" s="171" t="s">
        <v>1291</v>
      </c>
      <c r="F41" s="171" t="s">
        <v>747</v>
      </c>
      <c r="G41" s="171" t="s">
        <v>747</v>
      </c>
    </row>
    <row r="42" customFormat="false" ht="15" hidden="false" customHeight="false" outlineLevel="0" collapsed="false">
      <c r="A42" s="171" t="s">
        <v>1427</v>
      </c>
      <c r="B42" s="171" t="s">
        <v>1288</v>
      </c>
      <c r="C42" s="171" t="s">
        <v>1428</v>
      </c>
      <c r="D42" s="171" t="s">
        <v>1429</v>
      </c>
      <c r="E42" s="171" t="s">
        <v>1291</v>
      </c>
      <c r="F42" s="171" t="s">
        <v>1430</v>
      </c>
      <c r="G42" s="171" t="s">
        <v>281</v>
      </c>
    </row>
    <row r="43" customFormat="false" ht="15" hidden="false" customHeight="false" outlineLevel="0" collapsed="false">
      <c r="A43" s="171" t="s">
        <v>1431</v>
      </c>
      <c r="B43" s="171" t="s">
        <v>1306</v>
      </c>
      <c r="C43" s="171" t="s">
        <v>1432</v>
      </c>
      <c r="D43" s="171" t="s">
        <v>1433</v>
      </c>
      <c r="E43" s="171" t="s">
        <v>1291</v>
      </c>
      <c r="F43" s="171" t="s">
        <v>1434</v>
      </c>
      <c r="G43" s="171" t="s">
        <v>1435</v>
      </c>
    </row>
    <row r="44" customFormat="false" ht="15" hidden="false" customHeight="false" outlineLevel="0" collapsed="false">
      <c r="A44" s="171" t="s">
        <v>1436</v>
      </c>
      <c r="B44" s="171" t="s">
        <v>1306</v>
      </c>
      <c r="C44" s="171" t="s">
        <v>1437</v>
      </c>
      <c r="D44" s="171" t="s">
        <v>1438</v>
      </c>
      <c r="E44" s="171" t="s">
        <v>1291</v>
      </c>
      <c r="F44" s="171" t="s">
        <v>1439</v>
      </c>
      <c r="G44" s="171" t="s">
        <v>1102</v>
      </c>
    </row>
    <row r="45" customFormat="false" ht="15" hidden="false" customHeight="false" outlineLevel="0" collapsed="false">
      <c r="A45" s="171" t="s">
        <v>1440</v>
      </c>
      <c r="B45" s="171" t="s">
        <v>1288</v>
      </c>
      <c r="C45" s="171" t="s">
        <v>1441</v>
      </c>
      <c r="D45" s="171" t="s">
        <v>853</v>
      </c>
      <c r="E45" s="171" t="s">
        <v>1291</v>
      </c>
      <c r="F45" s="171" t="s">
        <v>855</v>
      </c>
      <c r="G45" s="171" t="s">
        <v>710</v>
      </c>
    </row>
    <row r="46" customFormat="false" ht="15" hidden="false" customHeight="false" outlineLevel="0" collapsed="false">
      <c r="A46" s="171" t="s">
        <v>87</v>
      </c>
      <c r="B46" s="171" t="s">
        <v>1288</v>
      </c>
      <c r="C46" s="171" t="s">
        <v>1442</v>
      </c>
      <c r="D46" s="171" t="s">
        <v>1060</v>
      </c>
      <c r="E46" s="171" t="s">
        <v>1291</v>
      </c>
      <c r="F46" s="171" t="s">
        <v>260</v>
      </c>
      <c r="G46" s="171" t="s">
        <v>260</v>
      </c>
    </row>
    <row r="47" customFormat="false" ht="15" hidden="false" customHeight="false" outlineLevel="0" collapsed="false">
      <c r="A47" s="171" t="s">
        <v>1443</v>
      </c>
      <c r="B47" s="171" t="s">
        <v>1306</v>
      </c>
      <c r="C47" s="171" t="s">
        <v>1444</v>
      </c>
      <c r="D47" s="171" t="s">
        <v>1445</v>
      </c>
      <c r="E47" s="171" t="s">
        <v>1291</v>
      </c>
      <c r="F47" s="171" t="s">
        <v>1446</v>
      </c>
      <c r="G47" s="171" t="s">
        <v>396</v>
      </c>
    </row>
    <row r="48" customFormat="false" ht="15" hidden="false" customHeight="false" outlineLevel="0" collapsed="false">
      <c r="A48" s="171" t="s">
        <v>1447</v>
      </c>
      <c r="B48" s="171" t="s">
        <v>1288</v>
      </c>
      <c r="C48" s="171" t="s">
        <v>1448</v>
      </c>
      <c r="D48" s="171" t="s">
        <v>1449</v>
      </c>
      <c r="E48" s="171" t="s">
        <v>1291</v>
      </c>
      <c r="F48" s="171" t="s">
        <v>1450</v>
      </c>
      <c r="G48" s="171" t="s">
        <v>312</v>
      </c>
    </row>
    <row r="49" customFormat="false" ht="15" hidden="false" customHeight="false" outlineLevel="0" collapsed="false">
      <c r="A49" s="171" t="s">
        <v>1451</v>
      </c>
      <c r="B49" s="171" t="s">
        <v>1288</v>
      </c>
      <c r="C49" s="171" t="s">
        <v>1452</v>
      </c>
      <c r="D49" s="171" t="s">
        <v>1453</v>
      </c>
      <c r="E49" s="171" t="s">
        <v>1291</v>
      </c>
      <c r="F49" s="171" t="s">
        <v>1454</v>
      </c>
      <c r="G49" s="171" t="s">
        <v>437</v>
      </c>
    </row>
    <row r="50" customFormat="false" ht="15" hidden="false" customHeight="false" outlineLevel="0" collapsed="false">
      <c r="A50" s="171" t="s">
        <v>137</v>
      </c>
      <c r="B50" s="171" t="s">
        <v>1288</v>
      </c>
      <c r="C50" s="171" t="s">
        <v>1455</v>
      </c>
      <c r="D50" s="171" t="s">
        <v>1456</v>
      </c>
      <c r="E50" s="171" t="s">
        <v>1291</v>
      </c>
      <c r="F50" s="171" t="s">
        <v>1258</v>
      </c>
      <c r="G50" s="171" t="s">
        <v>437</v>
      </c>
    </row>
    <row r="51" customFormat="false" ht="15" hidden="false" customHeight="false" outlineLevel="0" collapsed="false">
      <c r="A51" s="171" t="s">
        <v>1457</v>
      </c>
      <c r="B51" s="171" t="s">
        <v>1306</v>
      </c>
      <c r="C51" s="171" t="s">
        <v>1458</v>
      </c>
      <c r="D51" s="171" t="s">
        <v>1459</v>
      </c>
      <c r="E51" s="171" t="s">
        <v>1291</v>
      </c>
      <c r="F51" s="171" t="s">
        <v>1460</v>
      </c>
      <c r="G51" s="171" t="s">
        <v>437</v>
      </c>
    </row>
    <row r="52" customFormat="false" ht="15" hidden="false" customHeight="false" outlineLevel="0" collapsed="false">
      <c r="A52" s="171" t="s">
        <v>1461</v>
      </c>
      <c r="B52" s="171" t="s">
        <v>1288</v>
      </c>
      <c r="C52" s="171" t="s">
        <v>1462</v>
      </c>
      <c r="D52" s="171" t="s">
        <v>1463</v>
      </c>
      <c r="E52" s="171" t="s">
        <v>1291</v>
      </c>
      <c r="F52" s="171" t="s">
        <v>689</v>
      </c>
      <c r="G52" s="171" t="s">
        <v>312</v>
      </c>
    </row>
    <row r="53" customFormat="false" ht="15" hidden="false" customHeight="false" outlineLevel="0" collapsed="false">
      <c r="A53" s="171" t="s">
        <v>1464</v>
      </c>
      <c r="B53" s="171" t="s">
        <v>1288</v>
      </c>
      <c r="C53" s="171" t="s">
        <v>1465</v>
      </c>
      <c r="D53" s="171" t="s">
        <v>1466</v>
      </c>
      <c r="E53" s="171" t="s">
        <v>1291</v>
      </c>
      <c r="F53" s="171" t="s">
        <v>1467</v>
      </c>
      <c r="G53" s="171" t="s">
        <v>952</v>
      </c>
    </row>
    <row r="54" customFormat="false" ht="15" hidden="false" customHeight="false" outlineLevel="0" collapsed="false">
      <c r="A54" s="171" t="s">
        <v>1468</v>
      </c>
      <c r="B54" s="171" t="s">
        <v>1288</v>
      </c>
      <c r="C54" s="171" t="s">
        <v>1469</v>
      </c>
      <c r="D54" s="171" t="s">
        <v>1470</v>
      </c>
      <c r="E54" s="171" t="s">
        <v>1291</v>
      </c>
      <c r="F54" s="171" t="s">
        <v>1230</v>
      </c>
      <c r="G54" s="171" t="s">
        <v>396</v>
      </c>
    </row>
    <row r="55" customFormat="false" ht="15" hidden="false" customHeight="false" outlineLevel="0" collapsed="false">
      <c r="A55" s="171" t="s">
        <v>1471</v>
      </c>
      <c r="B55" s="171" t="s">
        <v>1288</v>
      </c>
      <c r="C55" s="171" t="s">
        <v>1472</v>
      </c>
      <c r="D55" s="171" t="s">
        <v>1473</v>
      </c>
      <c r="E55" s="171" t="s">
        <v>1291</v>
      </c>
      <c r="F55" s="171" t="s">
        <v>1201</v>
      </c>
      <c r="G55" s="171" t="s">
        <v>295</v>
      </c>
    </row>
    <row r="56" customFormat="false" ht="15" hidden="false" customHeight="false" outlineLevel="0" collapsed="false">
      <c r="A56" s="171" t="s">
        <v>1474</v>
      </c>
      <c r="B56" s="171" t="s">
        <v>1288</v>
      </c>
      <c r="C56" s="171" t="s">
        <v>1475</v>
      </c>
      <c r="D56" s="171" t="s">
        <v>1476</v>
      </c>
      <c r="E56" s="171" t="s">
        <v>1291</v>
      </c>
      <c r="F56" s="171" t="s">
        <v>1088</v>
      </c>
      <c r="G56" s="171" t="s">
        <v>1088</v>
      </c>
    </row>
    <row r="57" customFormat="false" ht="15" hidden="false" customHeight="false" outlineLevel="0" collapsed="false">
      <c r="A57" s="171" t="s">
        <v>1477</v>
      </c>
      <c r="B57" s="171" t="s">
        <v>1288</v>
      </c>
      <c r="C57" s="171" t="s">
        <v>1478</v>
      </c>
      <c r="D57" s="171" t="s">
        <v>1479</v>
      </c>
      <c r="E57" s="171" t="s">
        <v>1291</v>
      </c>
      <c r="F57" s="171" t="s">
        <v>1140</v>
      </c>
      <c r="G57" s="171" t="s">
        <v>1102</v>
      </c>
    </row>
    <row r="58" customFormat="false" ht="15" hidden="false" customHeight="false" outlineLevel="0" collapsed="false">
      <c r="A58" s="171" t="s">
        <v>1480</v>
      </c>
      <c r="B58" s="171" t="s">
        <v>1306</v>
      </c>
      <c r="C58" s="171" t="s">
        <v>1481</v>
      </c>
      <c r="D58" s="171" t="s">
        <v>1482</v>
      </c>
      <c r="E58" s="171" t="s">
        <v>1291</v>
      </c>
      <c r="F58" s="171" t="s">
        <v>951</v>
      </c>
      <c r="G58" s="171" t="s">
        <v>1483</v>
      </c>
    </row>
    <row r="59" customFormat="false" ht="15" hidden="false" customHeight="false" outlineLevel="0" collapsed="false">
      <c r="A59" s="171" t="s">
        <v>1484</v>
      </c>
      <c r="B59" s="171" t="s">
        <v>1288</v>
      </c>
      <c r="C59" s="171" t="s">
        <v>1485</v>
      </c>
      <c r="D59" s="171" t="s">
        <v>1486</v>
      </c>
      <c r="E59" s="171" t="s">
        <v>1291</v>
      </c>
      <c r="F59" s="171" t="s">
        <v>715</v>
      </c>
      <c r="G59" s="171" t="s">
        <v>295</v>
      </c>
    </row>
    <row r="60" customFormat="false" ht="15" hidden="false" customHeight="false" outlineLevel="0" collapsed="false">
      <c r="A60" s="171" t="s">
        <v>1487</v>
      </c>
      <c r="B60" s="171" t="s">
        <v>1288</v>
      </c>
      <c r="C60" s="171" t="s">
        <v>1488</v>
      </c>
      <c r="D60" s="171" t="s">
        <v>1489</v>
      </c>
      <c r="E60" s="171" t="s">
        <v>1291</v>
      </c>
      <c r="F60" s="171" t="s">
        <v>547</v>
      </c>
      <c r="G60" s="171" t="s">
        <v>295</v>
      </c>
    </row>
    <row r="61" customFormat="false" ht="15" hidden="false" customHeight="false" outlineLevel="0" collapsed="false">
      <c r="A61" s="171" t="s">
        <v>1490</v>
      </c>
      <c r="B61" s="171" t="s">
        <v>1288</v>
      </c>
      <c r="C61" s="171" t="s">
        <v>1491</v>
      </c>
      <c r="D61" s="171" t="s">
        <v>1492</v>
      </c>
      <c r="E61" s="171" t="s">
        <v>1291</v>
      </c>
      <c r="F61" s="171" t="s">
        <v>1493</v>
      </c>
      <c r="G61" s="171" t="s">
        <v>260</v>
      </c>
    </row>
    <row r="62" customFormat="false" ht="15" hidden="false" customHeight="false" outlineLevel="0" collapsed="false">
      <c r="A62" s="171" t="s">
        <v>1494</v>
      </c>
      <c r="B62" s="171" t="s">
        <v>1288</v>
      </c>
      <c r="C62" s="171" t="s">
        <v>1495</v>
      </c>
      <c r="D62" s="171" t="s">
        <v>1496</v>
      </c>
      <c r="E62" s="171" t="s">
        <v>1291</v>
      </c>
      <c r="F62" s="171" t="s">
        <v>1238</v>
      </c>
      <c r="G62" s="171" t="s">
        <v>710</v>
      </c>
    </row>
    <row r="63" customFormat="false" ht="15" hidden="false" customHeight="false" outlineLevel="0" collapsed="false">
      <c r="A63" s="171" t="s">
        <v>1497</v>
      </c>
      <c r="B63" s="171" t="s">
        <v>1288</v>
      </c>
      <c r="C63" s="171" t="s">
        <v>1498</v>
      </c>
      <c r="D63" s="171" t="s">
        <v>1499</v>
      </c>
      <c r="E63" s="171" t="s">
        <v>1291</v>
      </c>
      <c r="F63" s="171" t="s">
        <v>1500</v>
      </c>
      <c r="G63" s="171" t="s">
        <v>396</v>
      </c>
    </row>
    <row r="64" customFormat="false" ht="15" hidden="false" customHeight="false" outlineLevel="0" collapsed="false">
      <c r="A64" s="171" t="s">
        <v>1501</v>
      </c>
      <c r="B64" s="171" t="s">
        <v>1306</v>
      </c>
      <c r="C64" s="171" t="s">
        <v>1502</v>
      </c>
      <c r="D64" s="171" t="s">
        <v>1503</v>
      </c>
      <c r="E64" s="171" t="s">
        <v>1291</v>
      </c>
      <c r="F64" s="171" t="s">
        <v>1504</v>
      </c>
      <c r="G64" s="171" t="s">
        <v>1344</v>
      </c>
    </row>
    <row r="65" customFormat="false" ht="15" hidden="false" customHeight="false" outlineLevel="0" collapsed="false">
      <c r="A65" s="171" t="s">
        <v>1505</v>
      </c>
      <c r="B65" s="171" t="s">
        <v>1288</v>
      </c>
      <c r="C65" s="171" t="s">
        <v>1506</v>
      </c>
      <c r="D65" s="171" t="s">
        <v>1507</v>
      </c>
      <c r="E65" s="171" t="s">
        <v>1291</v>
      </c>
      <c r="F65" s="171" t="s">
        <v>1508</v>
      </c>
      <c r="G65" s="171" t="s">
        <v>281</v>
      </c>
    </row>
    <row r="66" customFormat="false" ht="15" hidden="false" customHeight="false" outlineLevel="0" collapsed="false">
      <c r="A66" s="171" t="s">
        <v>1509</v>
      </c>
      <c r="B66" s="171" t="s">
        <v>1306</v>
      </c>
      <c r="C66" s="171" t="s">
        <v>1510</v>
      </c>
      <c r="D66" s="171" t="s">
        <v>1511</v>
      </c>
      <c r="E66" s="171" t="s">
        <v>1291</v>
      </c>
      <c r="F66" s="171" t="s">
        <v>1450</v>
      </c>
      <c r="G66" s="171" t="s">
        <v>312</v>
      </c>
    </row>
    <row r="67" customFormat="false" ht="15" hidden="false" customHeight="false" outlineLevel="0" collapsed="false">
      <c r="A67" s="171" t="s">
        <v>1512</v>
      </c>
      <c r="B67" s="171" t="s">
        <v>1306</v>
      </c>
      <c r="C67" s="171" t="s">
        <v>1362</v>
      </c>
      <c r="D67" s="171" t="s">
        <v>1363</v>
      </c>
      <c r="E67" s="171" t="s">
        <v>1291</v>
      </c>
      <c r="F67" s="171" t="s">
        <v>1364</v>
      </c>
      <c r="G67" s="171" t="s">
        <v>1365</v>
      </c>
    </row>
    <row r="68" customFormat="false" ht="15" hidden="false" customHeight="false" outlineLevel="0" collapsed="false">
      <c r="A68" s="171" t="s">
        <v>1513</v>
      </c>
      <c r="B68" s="171" t="s">
        <v>1306</v>
      </c>
      <c r="C68" s="171" t="s">
        <v>1514</v>
      </c>
      <c r="D68" s="171" t="s">
        <v>1515</v>
      </c>
      <c r="E68" s="171" t="s">
        <v>1291</v>
      </c>
      <c r="F68" s="171" t="s">
        <v>1516</v>
      </c>
      <c r="G68" s="171" t="s">
        <v>1517</v>
      </c>
    </row>
    <row r="69" customFormat="false" ht="15" hidden="false" customHeight="false" outlineLevel="0" collapsed="false">
      <c r="A69" s="171" t="s">
        <v>77</v>
      </c>
      <c r="B69" s="171" t="s">
        <v>1288</v>
      </c>
      <c r="C69" s="171" t="s">
        <v>1518</v>
      </c>
      <c r="D69" s="171" t="s">
        <v>974</v>
      </c>
      <c r="E69" s="171" t="s">
        <v>1291</v>
      </c>
      <c r="F69" s="171" t="s">
        <v>976</v>
      </c>
      <c r="G69" s="171" t="s">
        <v>396</v>
      </c>
    </row>
    <row r="70" customFormat="false" ht="15" hidden="false" customHeight="false" outlineLevel="0" collapsed="false">
      <c r="A70" s="171" t="s">
        <v>1519</v>
      </c>
      <c r="B70" s="171" t="s">
        <v>1288</v>
      </c>
      <c r="C70" s="171" t="s">
        <v>1520</v>
      </c>
      <c r="D70" s="171" t="s">
        <v>1521</v>
      </c>
      <c r="E70" s="171" t="s">
        <v>1291</v>
      </c>
      <c r="F70" s="171" t="s">
        <v>395</v>
      </c>
      <c r="G70" s="171" t="s">
        <v>710</v>
      </c>
    </row>
    <row r="71" customFormat="false" ht="15" hidden="false" customHeight="false" outlineLevel="0" collapsed="false">
      <c r="A71" s="171" t="s">
        <v>1522</v>
      </c>
      <c r="B71" s="171" t="s">
        <v>1288</v>
      </c>
      <c r="C71" s="171" t="s">
        <v>1523</v>
      </c>
      <c r="D71" s="171" t="s">
        <v>1524</v>
      </c>
      <c r="E71" s="171" t="s">
        <v>1291</v>
      </c>
      <c r="F71" s="171" t="s">
        <v>1525</v>
      </c>
      <c r="G71" s="171" t="s">
        <v>710</v>
      </c>
    </row>
    <row r="72" customFormat="false" ht="15" hidden="false" customHeight="false" outlineLevel="0" collapsed="false">
      <c r="A72" s="171" t="s">
        <v>1526</v>
      </c>
      <c r="B72" s="171" t="s">
        <v>1288</v>
      </c>
      <c r="C72" s="171" t="s">
        <v>1527</v>
      </c>
      <c r="D72" s="171" t="s">
        <v>1528</v>
      </c>
      <c r="E72" s="171" t="s">
        <v>1291</v>
      </c>
      <c r="F72" s="171" t="s">
        <v>1450</v>
      </c>
      <c r="G72" s="171" t="s">
        <v>274</v>
      </c>
    </row>
    <row r="73" customFormat="false" ht="15" hidden="false" customHeight="false" outlineLevel="0" collapsed="false">
      <c r="A73" s="171" t="s">
        <v>1529</v>
      </c>
      <c r="B73" s="171" t="s">
        <v>1288</v>
      </c>
      <c r="C73" s="171" t="s">
        <v>1530</v>
      </c>
      <c r="D73" s="171" t="s">
        <v>1531</v>
      </c>
      <c r="E73" s="171" t="s">
        <v>1291</v>
      </c>
      <c r="F73" s="171" t="s">
        <v>273</v>
      </c>
      <c r="G73" s="171" t="s">
        <v>274</v>
      </c>
    </row>
    <row r="74" customFormat="false" ht="15" hidden="false" customHeight="false" outlineLevel="0" collapsed="false">
      <c r="A74" s="171" t="s">
        <v>1532</v>
      </c>
      <c r="B74" s="171" t="s">
        <v>1288</v>
      </c>
      <c r="C74" s="171" t="s">
        <v>1533</v>
      </c>
      <c r="D74" s="171" t="s">
        <v>1534</v>
      </c>
      <c r="E74" s="171" t="s">
        <v>1291</v>
      </c>
      <c r="F74" s="171" t="s">
        <v>1101</v>
      </c>
      <c r="G74" s="171" t="s">
        <v>1102</v>
      </c>
    </row>
    <row r="75" customFormat="false" ht="15" hidden="false" customHeight="false" outlineLevel="0" collapsed="false">
      <c r="A75" s="171" t="s">
        <v>1535</v>
      </c>
      <c r="B75" s="171" t="s">
        <v>1288</v>
      </c>
      <c r="C75" s="171" t="s">
        <v>1536</v>
      </c>
      <c r="D75" s="171" t="s">
        <v>1537</v>
      </c>
      <c r="E75" s="171" t="s">
        <v>1291</v>
      </c>
      <c r="F75" s="171" t="s">
        <v>1538</v>
      </c>
      <c r="G75" s="171" t="s">
        <v>1539</v>
      </c>
    </row>
    <row r="76" customFormat="false" ht="15" hidden="false" customHeight="false" outlineLevel="0" collapsed="false">
      <c r="A76" s="171" t="s">
        <v>1540</v>
      </c>
      <c r="B76" s="171" t="s">
        <v>1288</v>
      </c>
      <c r="C76" s="171" t="s">
        <v>1541</v>
      </c>
      <c r="D76" s="171" t="s">
        <v>1542</v>
      </c>
      <c r="E76" s="171" t="s">
        <v>1291</v>
      </c>
      <c r="F76" s="171" t="s">
        <v>1543</v>
      </c>
      <c r="G76" s="171" t="s">
        <v>437</v>
      </c>
    </row>
    <row r="77" customFormat="false" ht="15" hidden="false" customHeight="false" outlineLevel="0" collapsed="false">
      <c r="A77" s="171" t="s">
        <v>1544</v>
      </c>
      <c r="B77" s="171" t="s">
        <v>1288</v>
      </c>
      <c r="C77" s="171" t="s">
        <v>1545</v>
      </c>
      <c r="D77" s="171" t="s">
        <v>1546</v>
      </c>
      <c r="E77" s="171" t="s">
        <v>1291</v>
      </c>
      <c r="F77" s="171" t="s">
        <v>796</v>
      </c>
      <c r="G77" s="171" t="s">
        <v>295</v>
      </c>
    </row>
    <row r="78" customFormat="false" ht="15" hidden="false" customHeight="false" outlineLevel="0" collapsed="false">
      <c r="A78" s="171" t="s">
        <v>1547</v>
      </c>
      <c r="B78" s="171" t="s">
        <v>1288</v>
      </c>
      <c r="C78" s="171" t="s">
        <v>1548</v>
      </c>
      <c r="D78" s="171" t="s">
        <v>1549</v>
      </c>
      <c r="E78" s="171" t="s">
        <v>1291</v>
      </c>
      <c r="F78" s="171" t="s">
        <v>1550</v>
      </c>
      <c r="G78" s="171" t="s">
        <v>295</v>
      </c>
    </row>
    <row r="79" customFormat="false" ht="15" hidden="false" customHeight="false" outlineLevel="0" collapsed="false">
      <c r="A79" s="171" t="s">
        <v>1551</v>
      </c>
      <c r="B79" s="171" t="s">
        <v>1306</v>
      </c>
      <c r="C79" s="171" t="s">
        <v>1552</v>
      </c>
      <c r="D79" s="171" t="s">
        <v>1553</v>
      </c>
      <c r="E79" s="171" t="s">
        <v>1291</v>
      </c>
      <c r="F79" s="171" t="s">
        <v>1460</v>
      </c>
      <c r="G79" s="171" t="s">
        <v>1554</v>
      </c>
    </row>
    <row r="80" customFormat="false" ht="15" hidden="false" customHeight="false" outlineLevel="0" collapsed="false">
      <c r="A80" s="171" t="s">
        <v>1555</v>
      </c>
      <c r="B80" s="171" t="s">
        <v>1306</v>
      </c>
      <c r="C80" s="171" t="s">
        <v>1552</v>
      </c>
      <c r="D80" s="171" t="s">
        <v>1553</v>
      </c>
      <c r="E80" s="171" t="s">
        <v>1291</v>
      </c>
      <c r="F80" s="171" t="s">
        <v>1460</v>
      </c>
      <c r="G80" s="171" t="s">
        <v>1554</v>
      </c>
    </row>
    <row r="81" customFormat="false" ht="15" hidden="false" customHeight="false" outlineLevel="0" collapsed="false">
      <c r="A81" s="171" t="s">
        <v>1556</v>
      </c>
      <c r="B81" s="171" t="s">
        <v>1306</v>
      </c>
      <c r="C81" s="171" t="s">
        <v>1557</v>
      </c>
      <c r="D81" s="171" t="s">
        <v>1558</v>
      </c>
      <c r="E81" s="171" t="s">
        <v>1291</v>
      </c>
      <c r="F81" s="171" t="s">
        <v>689</v>
      </c>
      <c r="G81" s="171" t="s">
        <v>312</v>
      </c>
    </row>
    <row r="82" customFormat="false" ht="15" hidden="false" customHeight="false" outlineLevel="0" collapsed="false">
      <c r="A82" s="171" t="s">
        <v>1559</v>
      </c>
      <c r="B82" s="171" t="s">
        <v>1288</v>
      </c>
      <c r="C82" s="171" t="s">
        <v>1560</v>
      </c>
      <c r="D82" s="171" t="s">
        <v>1561</v>
      </c>
      <c r="E82" s="171" t="s">
        <v>1291</v>
      </c>
      <c r="F82" s="171" t="s">
        <v>1562</v>
      </c>
      <c r="G82" s="171" t="s">
        <v>260</v>
      </c>
    </row>
    <row r="83" customFormat="false" ht="15" hidden="false" customHeight="false" outlineLevel="0" collapsed="false">
      <c r="A83" s="171" t="s">
        <v>1563</v>
      </c>
      <c r="B83" s="171" t="s">
        <v>1288</v>
      </c>
      <c r="C83" s="171" t="s">
        <v>1564</v>
      </c>
      <c r="D83" s="171" t="s">
        <v>1565</v>
      </c>
      <c r="E83" s="171" t="s">
        <v>1291</v>
      </c>
      <c r="F83" s="171" t="s">
        <v>1330</v>
      </c>
      <c r="G83" s="171" t="s">
        <v>454</v>
      </c>
    </row>
    <row r="84" customFormat="false" ht="15" hidden="false" customHeight="false" outlineLevel="0" collapsed="false">
      <c r="A84" s="171" t="s">
        <v>1566</v>
      </c>
      <c r="B84" s="171" t="s">
        <v>1288</v>
      </c>
      <c r="C84" s="171" t="s">
        <v>1567</v>
      </c>
      <c r="D84" s="171" t="s">
        <v>1568</v>
      </c>
      <c r="E84" s="171" t="s">
        <v>1291</v>
      </c>
      <c r="F84" s="171" t="s">
        <v>1569</v>
      </c>
      <c r="G84" s="171" t="s">
        <v>677</v>
      </c>
    </row>
    <row r="85" customFormat="false" ht="15" hidden="false" customHeight="false" outlineLevel="0" collapsed="false">
      <c r="A85" s="171" t="s">
        <v>1570</v>
      </c>
      <c r="B85" s="171" t="s">
        <v>1306</v>
      </c>
      <c r="C85" s="171" t="s">
        <v>1571</v>
      </c>
      <c r="D85" s="171" t="s">
        <v>1572</v>
      </c>
      <c r="E85" s="171" t="s">
        <v>1291</v>
      </c>
      <c r="F85" s="171" t="s">
        <v>1573</v>
      </c>
      <c r="G85" s="171" t="s">
        <v>1574</v>
      </c>
    </row>
    <row r="86" customFormat="false" ht="15" hidden="false" customHeight="false" outlineLevel="0" collapsed="false">
      <c r="A86" s="171" t="s">
        <v>1575</v>
      </c>
      <c r="B86" s="171" t="s">
        <v>1288</v>
      </c>
      <c r="C86" s="171" t="s">
        <v>1576</v>
      </c>
      <c r="D86" s="171" t="s">
        <v>1577</v>
      </c>
      <c r="E86" s="171" t="s">
        <v>1291</v>
      </c>
      <c r="F86" s="171" t="s">
        <v>1578</v>
      </c>
      <c r="G86" s="171" t="s">
        <v>173</v>
      </c>
    </row>
    <row r="87" customFormat="false" ht="15" hidden="false" customHeight="false" outlineLevel="0" collapsed="false">
      <c r="A87" s="171" t="s">
        <v>1579</v>
      </c>
      <c r="B87" s="171" t="s">
        <v>1306</v>
      </c>
      <c r="C87" s="171" t="s">
        <v>1580</v>
      </c>
      <c r="D87" s="171" t="s">
        <v>1581</v>
      </c>
      <c r="E87" s="171" t="s">
        <v>1291</v>
      </c>
      <c r="F87" s="171" t="s">
        <v>1434</v>
      </c>
      <c r="G87" s="171" t="s">
        <v>1435</v>
      </c>
    </row>
    <row r="88" customFormat="false" ht="15" hidden="false" customHeight="false" outlineLevel="0" collapsed="false">
      <c r="A88" s="171" t="s">
        <v>1582</v>
      </c>
      <c r="B88" s="171" t="s">
        <v>1288</v>
      </c>
      <c r="C88" s="171" t="s">
        <v>1583</v>
      </c>
      <c r="D88" s="171" t="s">
        <v>1584</v>
      </c>
      <c r="E88" s="171" t="s">
        <v>1291</v>
      </c>
      <c r="F88" s="171" t="s">
        <v>1316</v>
      </c>
      <c r="G88" s="171" t="s">
        <v>710</v>
      </c>
    </row>
    <row r="89" customFormat="false" ht="15" hidden="false" customHeight="false" outlineLevel="0" collapsed="false">
      <c r="A89" s="171" t="s">
        <v>1585</v>
      </c>
      <c r="B89" s="171" t="s">
        <v>1306</v>
      </c>
      <c r="C89" s="171" t="s">
        <v>1586</v>
      </c>
      <c r="D89" s="171" t="s">
        <v>1587</v>
      </c>
      <c r="E89" s="171" t="s">
        <v>1291</v>
      </c>
      <c r="F89" s="171" t="s">
        <v>330</v>
      </c>
      <c r="G89" s="171" t="s">
        <v>240</v>
      </c>
    </row>
    <row r="90" customFormat="false" ht="15" hidden="false" customHeight="false" outlineLevel="0" collapsed="false">
      <c r="A90" s="171" t="s">
        <v>139</v>
      </c>
      <c r="B90" s="171" t="s">
        <v>1288</v>
      </c>
      <c r="C90" s="171" t="s">
        <v>1588</v>
      </c>
      <c r="D90" s="171" t="s">
        <v>1589</v>
      </c>
      <c r="E90" s="171" t="s">
        <v>1291</v>
      </c>
      <c r="F90" s="171" t="s">
        <v>173</v>
      </c>
      <c r="G90" s="171" t="s">
        <v>173</v>
      </c>
    </row>
    <row r="91" customFormat="false" ht="15" hidden="false" customHeight="false" outlineLevel="0" collapsed="false">
      <c r="A91" s="171" t="s">
        <v>1590</v>
      </c>
      <c r="B91" s="171" t="s">
        <v>1288</v>
      </c>
      <c r="C91" s="171" t="s">
        <v>1591</v>
      </c>
      <c r="D91" s="171" t="s">
        <v>1592</v>
      </c>
      <c r="E91" s="171" t="s">
        <v>1291</v>
      </c>
      <c r="F91" s="171" t="s">
        <v>1593</v>
      </c>
      <c r="G91" s="171" t="s">
        <v>288</v>
      </c>
    </row>
    <row r="92" customFormat="false" ht="15" hidden="false" customHeight="false" outlineLevel="0" collapsed="false">
      <c r="A92" s="171" t="s">
        <v>1594</v>
      </c>
      <c r="B92" s="171" t="s">
        <v>1288</v>
      </c>
      <c r="C92" s="171" t="s">
        <v>1595</v>
      </c>
      <c r="D92" s="171" t="s">
        <v>1596</v>
      </c>
      <c r="E92" s="171" t="s">
        <v>1291</v>
      </c>
      <c r="F92" s="171" t="s">
        <v>1597</v>
      </c>
      <c r="G92" s="171" t="s">
        <v>240</v>
      </c>
    </row>
    <row r="93" customFormat="false" ht="15" hidden="false" customHeight="false" outlineLevel="0" collapsed="false">
      <c r="A93" s="171" t="s">
        <v>1598</v>
      </c>
      <c r="B93" s="171" t="s">
        <v>1288</v>
      </c>
      <c r="C93" s="171" t="s">
        <v>1599</v>
      </c>
      <c r="D93" s="171" t="s">
        <v>1600</v>
      </c>
      <c r="E93" s="171" t="s">
        <v>1291</v>
      </c>
      <c r="F93" s="171" t="s">
        <v>577</v>
      </c>
      <c r="G93" s="171" t="s">
        <v>320</v>
      </c>
    </row>
    <row r="94" customFormat="false" ht="15" hidden="false" customHeight="false" outlineLevel="0" collapsed="false">
      <c r="A94" s="171" t="s">
        <v>117</v>
      </c>
      <c r="B94" s="171" t="s">
        <v>1288</v>
      </c>
      <c r="C94" s="171" t="s">
        <v>1601</v>
      </c>
      <c r="D94" s="171" t="s">
        <v>1134</v>
      </c>
      <c r="E94" s="171" t="s">
        <v>1291</v>
      </c>
      <c r="F94" s="171" t="s">
        <v>1040</v>
      </c>
      <c r="G94" s="171" t="s">
        <v>710</v>
      </c>
    </row>
    <row r="95" customFormat="false" ht="15" hidden="false" customHeight="false" outlineLevel="0" collapsed="false">
      <c r="A95" s="171" t="s">
        <v>1602</v>
      </c>
      <c r="B95" s="171" t="s">
        <v>1288</v>
      </c>
      <c r="C95" s="171" t="s">
        <v>1603</v>
      </c>
      <c r="D95" s="171" t="s">
        <v>1604</v>
      </c>
      <c r="E95" s="171" t="s">
        <v>1291</v>
      </c>
      <c r="F95" s="171" t="s">
        <v>1605</v>
      </c>
      <c r="G95" s="171" t="s">
        <v>260</v>
      </c>
    </row>
    <row r="96" customFormat="false" ht="15" hidden="false" customHeight="false" outlineLevel="0" collapsed="false">
      <c r="A96" s="171" t="s">
        <v>1606</v>
      </c>
      <c r="B96" s="171" t="s">
        <v>1288</v>
      </c>
      <c r="C96" s="171" t="s">
        <v>1607</v>
      </c>
      <c r="D96" s="171" t="s">
        <v>1608</v>
      </c>
      <c r="E96" s="171" t="s">
        <v>1291</v>
      </c>
      <c r="F96" s="171" t="s">
        <v>1326</v>
      </c>
      <c r="G96" s="171" t="s">
        <v>173</v>
      </c>
    </row>
    <row r="97" customFormat="false" ht="15" hidden="false" customHeight="false" outlineLevel="0" collapsed="false">
      <c r="A97" s="171" t="s">
        <v>1609</v>
      </c>
      <c r="B97" s="171" t="s">
        <v>1306</v>
      </c>
      <c r="C97" s="171" t="s">
        <v>1610</v>
      </c>
      <c r="D97" s="171" t="s">
        <v>1611</v>
      </c>
      <c r="E97" s="171" t="s">
        <v>1291</v>
      </c>
      <c r="F97" s="171" t="s">
        <v>1612</v>
      </c>
      <c r="G97" s="171" t="s">
        <v>1435</v>
      </c>
    </row>
    <row r="98" customFormat="false" ht="15" hidden="false" customHeight="false" outlineLevel="0" collapsed="false">
      <c r="A98" s="171" t="s">
        <v>1613</v>
      </c>
      <c r="B98" s="171" t="s">
        <v>1306</v>
      </c>
      <c r="C98" s="171" t="s">
        <v>1614</v>
      </c>
      <c r="D98" s="171" t="s">
        <v>1615</v>
      </c>
      <c r="E98" s="171" t="s">
        <v>1291</v>
      </c>
      <c r="F98" s="171" t="s">
        <v>1616</v>
      </c>
      <c r="G98" s="171" t="s">
        <v>1617</v>
      </c>
    </row>
    <row r="99" customFormat="false" ht="15" hidden="false" customHeight="false" outlineLevel="0" collapsed="false">
      <c r="A99" s="171" t="s">
        <v>1618</v>
      </c>
      <c r="B99" s="171" t="s">
        <v>1288</v>
      </c>
      <c r="C99" s="171" t="s">
        <v>1619</v>
      </c>
      <c r="D99" s="171" t="s">
        <v>1620</v>
      </c>
      <c r="E99" s="171" t="s">
        <v>1291</v>
      </c>
      <c r="F99" s="171" t="s">
        <v>1238</v>
      </c>
      <c r="G99" s="171" t="s">
        <v>710</v>
      </c>
    </row>
    <row r="100" customFormat="false" ht="15" hidden="false" customHeight="false" outlineLevel="0" collapsed="false">
      <c r="A100" s="171" t="s">
        <v>1621</v>
      </c>
      <c r="B100" s="171" t="s">
        <v>1306</v>
      </c>
      <c r="C100" s="171" t="s">
        <v>1622</v>
      </c>
      <c r="D100" s="171" t="s">
        <v>1623</v>
      </c>
      <c r="E100" s="171" t="s">
        <v>1291</v>
      </c>
      <c r="F100" s="171" t="s">
        <v>1504</v>
      </c>
      <c r="G100" s="171" t="s">
        <v>1344</v>
      </c>
    </row>
    <row r="101" customFormat="false" ht="15" hidden="false" customHeight="false" outlineLevel="0" collapsed="false">
      <c r="A101" s="171" t="s">
        <v>71</v>
      </c>
      <c r="B101" s="171" t="s">
        <v>1288</v>
      </c>
      <c r="C101" s="171" t="s">
        <v>1624</v>
      </c>
      <c r="D101" s="171" t="s">
        <v>1625</v>
      </c>
      <c r="E101" s="171" t="s">
        <v>1291</v>
      </c>
      <c r="F101" s="171" t="s">
        <v>1088</v>
      </c>
      <c r="G101" s="171" t="s">
        <v>1088</v>
      </c>
    </row>
    <row r="102" customFormat="false" ht="15" hidden="false" customHeight="false" outlineLevel="0" collapsed="false">
      <c r="A102" s="171" t="s">
        <v>1626</v>
      </c>
      <c r="B102" s="171" t="s">
        <v>1306</v>
      </c>
      <c r="C102" s="171" t="s">
        <v>1627</v>
      </c>
      <c r="D102" s="171" t="s">
        <v>1628</v>
      </c>
      <c r="E102" s="171" t="s">
        <v>1291</v>
      </c>
      <c r="F102" s="171" t="s">
        <v>1369</v>
      </c>
      <c r="G102" s="171" t="s">
        <v>240</v>
      </c>
    </row>
    <row r="103" customFormat="false" ht="15" hidden="false" customHeight="false" outlineLevel="0" collapsed="false">
      <c r="A103" s="171" t="s">
        <v>1049</v>
      </c>
      <c r="B103" s="171" t="s">
        <v>1288</v>
      </c>
      <c r="C103" s="171" t="s">
        <v>1629</v>
      </c>
      <c r="D103" s="171" t="s">
        <v>1630</v>
      </c>
      <c r="E103" s="171" t="s">
        <v>1291</v>
      </c>
      <c r="F103" s="171" t="s">
        <v>1631</v>
      </c>
      <c r="G103" s="171" t="s">
        <v>260</v>
      </c>
    </row>
    <row r="104" customFormat="false" ht="15" hidden="false" customHeight="false" outlineLevel="0" collapsed="false">
      <c r="A104" s="171" t="s">
        <v>1632</v>
      </c>
      <c r="B104" s="171" t="s">
        <v>1288</v>
      </c>
      <c r="C104" s="171" t="s">
        <v>1633</v>
      </c>
      <c r="D104" s="171" t="s">
        <v>1634</v>
      </c>
      <c r="E104" s="171" t="s">
        <v>1291</v>
      </c>
      <c r="F104" s="171" t="s">
        <v>641</v>
      </c>
      <c r="G104" s="171" t="s">
        <v>642</v>
      </c>
    </row>
    <row r="105" customFormat="false" ht="15" hidden="false" customHeight="false" outlineLevel="0" collapsed="false">
      <c r="A105" s="171" t="s">
        <v>1635</v>
      </c>
      <c r="B105" s="171" t="s">
        <v>1288</v>
      </c>
      <c r="C105" s="171" t="s">
        <v>1636</v>
      </c>
      <c r="D105" s="171" t="s">
        <v>1637</v>
      </c>
      <c r="E105" s="171" t="s">
        <v>1291</v>
      </c>
      <c r="F105" s="171" t="s">
        <v>1258</v>
      </c>
      <c r="G105" s="171" t="s">
        <v>437</v>
      </c>
    </row>
    <row r="106" customFormat="false" ht="15" hidden="false" customHeight="false" outlineLevel="0" collapsed="false">
      <c r="A106" s="171" t="s">
        <v>1638</v>
      </c>
      <c r="B106" s="171" t="s">
        <v>1288</v>
      </c>
      <c r="C106" s="171" t="s">
        <v>1639</v>
      </c>
      <c r="D106" s="171" t="s">
        <v>1640</v>
      </c>
      <c r="E106" s="171" t="s">
        <v>1291</v>
      </c>
      <c r="F106" s="171" t="s">
        <v>482</v>
      </c>
      <c r="G106" s="171" t="s">
        <v>1068</v>
      </c>
    </row>
    <row r="107" customFormat="false" ht="15" hidden="false" customHeight="false" outlineLevel="0" collapsed="false">
      <c r="A107" s="171" t="s">
        <v>103</v>
      </c>
      <c r="B107" s="171" t="s">
        <v>1288</v>
      </c>
      <c r="C107" s="171" t="s">
        <v>1641</v>
      </c>
      <c r="D107" s="171" t="s">
        <v>1642</v>
      </c>
      <c r="E107" s="171" t="s">
        <v>1291</v>
      </c>
      <c r="F107" s="171" t="s">
        <v>201</v>
      </c>
      <c r="G107" s="171" t="s">
        <v>268</v>
      </c>
    </row>
    <row r="108" customFormat="false" ht="15" hidden="false" customHeight="false" outlineLevel="0" collapsed="false">
      <c r="A108" s="171" t="s">
        <v>1643</v>
      </c>
      <c r="B108" s="171" t="s">
        <v>1306</v>
      </c>
      <c r="C108" s="171" t="s">
        <v>1644</v>
      </c>
      <c r="D108" s="171" t="s">
        <v>1645</v>
      </c>
      <c r="E108" s="171" t="s">
        <v>1291</v>
      </c>
      <c r="F108" s="171" t="s">
        <v>395</v>
      </c>
      <c r="G108" s="171" t="s">
        <v>710</v>
      </c>
    </row>
    <row r="109" customFormat="false" ht="15" hidden="false" customHeight="false" outlineLevel="0" collapsed="false">
      <c r="A109" s="171" t="s">
        <v>125</v>
      </c>
      <c r="B109" s="171" t="s">
        <v>1288</v>
      </c>
      <c r="C109" s="171" t="s">
        <v>1646</v>
      </c>
      <c r="D109" s="171" t="s">
        <v>1647</v>
      </c>
      <c r="E109" s="171" t="s">
        <v>1291</v>
      </c>
      <c r="F109" s="171" t="s">
        <v>1242</v>
      </c>
      <c r="G109" s="171" t="s">
        <v>1088</v>
      </c>
    </row>
    <row r="110" customFormat="false" ht="15" hidden="false" customHeight="false" outlineLevel="0" collapsed="false">
      <c r="A110" s="171" t="s">
        <v>1648</v>
      </c>
      <c r="B110" s="171" t="s">
        <v>1288</v>
      </c>
      <c r="C110" s="171" t="s">
        <v>1649</v>
      </c>
      <c r="D110" s="171" t="s">
        <v>607</v>
      </c>
      <c r="E110" s="171" t="s">
        <v>1291</v>
      </c>
      <c r="F110" s="171" t="s">
        <v>609</v>
      </c>
      <c r="G110" s="171" t="s">
        <v>437</v>
      </c>
    </row>
    <row r="111" customFormat="false" ht="15" hidden="false" customHeight="false" outlineLevel="0" collapsed="false">
      <c r="A111" s="171" t="s">
        <v>1650</v>
      </c>
      <c r="B111" s="171" t="s">
        <v>1288</v>
      </c>
      <c r="C111" s="171" t="s">
        <v>1651</v>
      </c>
      <c r="D111" s="171" t="s">
        <v>1652</v>
      </c>
      <c r="E111" s="171" t="s">
        <v>1291</v>
      </c>
      <c r="F111" s="171" t="s">
        <v>1653</v>
      </c>
      <c r="G111" s="171" t="s">
        <v>274</v>
      </c>
    </row>
    <row r="112" customFormat="false" ht="15" hidden="false" customHeight="false" outlineLevel="0" collapsed="false">
      <c r="A112" s="171" t="s">
        <v>1654</v>
      </c>
      <c r="B112" s="171" t="s">
        <v>1306</v>
      </c>
      <c r="C112" s="171" t="s">
        <v>1655</v>
      </c>
      <c r="D112" s="171" t="s">
        <v>1656</v>
      </c>
      <c r="E112" s="171" t="s">
        <v>1291</v>
      </c>
      <c r="F112" s="171" t="s">
        <v>1657</v>
      </c>
      <c r="G112" s="171" t="s">
        <v>288</v>
      </c>
    </row>
    <row r="113" customFormat="false" ht="15" hidden="false" customHeight="false" outlineLevel="0" collapsed="false">
      <c r="A113" s="171" t="s">
        <v>1658</v>
      </c>
      <c r="B113" s="171" t="s">
        <v>1288</v>
      </c>
      <c r="C113" s="171" t="s">
        <v>1659</v>
      </c>
      <c r="D113" s="171" t="s">
        <v>1660</v>
      </c>
      <c r="E113" s="171" t="s">
        <v>1291</v>
      </c>
      <c r="F113" s="171" t="s">
        <v>1661</v>
      </c>
      <c r="G113" s="171" t="s">
        <v>1088</v>
      </c>
    </row>
    <row r="114" customFormat="false" ht="15" hidden="false" customHeight="false" outlineLevel="0" collapsed="false">
      <c r="A114" s="171" t="s">
        <v>1662</v>
      </c>
      <c r="B114" s="171" t="s">
        <v>1306</v>
      </c>
      <c r="C114" s="171" t="s">
        <v>1663</v>
      </c>
      <c r="D114" s="171" t="s">
        <v>1664</v>
      </c>
      <c r="E114" s="171" t="s">
        <v>1291</v>
      </c>
      <c r="F114" s="171" t="s">
        <v>1665</v>
      </c>
      <c r="G114" s="171" t="s">
        <v>1339</v>
      </c>
    </row>
    <row r="115" customFormat="false" ht="15" hidden="false" customHeight="false" outlineLevel="0" collapsed="false">
      <c r="A115" s="171" t="s">
        <v>1666</v>
      </c>
      <c r="B115" s="171" t="s">
        <v>1306</v>
      </c>
      <c r="C115" s="171" t="s">
        <v>1667</v>
      </c>
      <c r="D115" s="171" t="s">
        <v>1668</v>
      </c>
      <c r="E115" s="171" t="s">
        <v>1291</v>
      </c>
      <c r="F115" s="171" t="s">
        <v>1665</v>
      </c>
      <c r="G115" s="171" t="s">
        <v>1339</v>
      </c>
    </row>
    <row r="116" customFormat="false" ht="15" hidden="false" customHeight="false" outlineLevel="0" collapsed="false">
      <c r="A116" s="171" t="s">
        <v>1669</v>
      </c>
      <c r="B116" s="171" t="s">
        <v>1288</v>
      </c>
      <c r="C116" s="171" t="s">
        <v>1670</v>
      </c>
      <c r="D116" s="171" t="s">
        <v>1671</v>
      </c>
      <c r="E116" s="171" t="s">
        <v>1291</v>
      </c>
      <c r="F116" s="171" t="s">
        <v>1672</v>
      </c>
      <c r="G116" s="171" t="s">
        <v>677</v>
      </c>
    </row>
    <row r="117" customFormat="false" ht="15" hidden="false" customHeight="false" outlineLevel="0" collapsed="false">
      <c r="A117" s="171" t="s">
        <v>1673</v>
      </c>
      <c r="B117" s="171" t="s">
        <v>1306</v>
      </c>
      <c r="C117" s="171" t="s">
        <v>1674</v>
      </c>
      <c r="D117" s="171" t="s">
        <v>1675</v>
      </c>
      <c r="E117" s="171" t="s">
        <v>1291</v>
      </c>
      <c r="F117" s="171" t="s">
        <v>1676</v>
      </c>
      <c r="G117" s="171" t="s">
        <v>952</v>
      </c>
    </row>
    <row r="118" customFormat="false" ht="15" hidden="false" customHeight="false" outlineLevel="0" collapsed="false">
      <c r="A118" s="171" t="s">
        <v>1677</v>
      </c>
      <c r="B118" s="171" t="s">
        <v>1306</v>
      </c>
      <c r="C118" s="171" t="s">
        <v>1412</v>
      </c>
      <c r="D118" s="171" t="s">
        <v>1413</v>
      </c>
      <c r="E118" s="171" t="s">
        <v>1291</v>
      </c>
      <c r="F118" s="171" t="s">
        <v>447</v>
      </c>
      <c r="G118" s="171" t="s">
        <v>677</v>
      </c>
    </row>
    <row r="119" customFormat="false" ht="15" hidden="false" customHeight="false" outlineLevel="0" collapsed="false">
      <c r="A119" s="171" t="s">
        <v>1678</v>
      </c>
      <c r="B119" s="171" t="s">
        <v>1288</v>
      </c>
      <c r="C119" s="171" t="s">
        <v>1679</v>
      </c>
      <c r="D119" s="171" t="s">
        <v>1680</v>
      </c>
      <c r="E119" s="171" t="s">
        <v>1291</v>
      </c>
      <c r="F119" s="171" t="s">
        <v>1681</v>
      </c>
      <c r="G119" s="171" t="s">
        <v>1682</v>
      </c>
    </row>
    <row r="120" customFormat="false" ht="15" hidden="false" customHeight="false" outlineLevel="0" collapsed="false">
      <c r="A120" s="171" t="s">
        <v>1683</v>
      </c>
      <c r="B120" s="171" t="s">
        <v>1288</v>
      </c>
      <c r="C120" s="171" t="s">
        <v>1684</v>
      </c>
      <c r="D120" s="171" t="s">
        <v>1685</v>
      </c>
      <c r="E120" s="171" t="s">
        <v>1291</v>
      </c>
      <c r="F120" s="171" t="s">
        <v>1686</v>
      </c>
      <c r="G120" s="171" t="s">
        <v>288</v>
      </c>
    </row>
    <row r="121" customFormat="false" ht="15" hidden="false" customHeight="false" outlineLevel="0" collapsed="false">
      <c r="A121" s="171" t="s">
        <v>1687</v>
      </c>
      <c r="B121" s="171" t="s">
        <v>1288</v>
      </c>
      <c r="C121" s="171" t="s">
        <v>1688</v>
      </c>
      <c r="D121" s="171" t="s">
        <v>1689</v>
      </c>
      <c r="E121" s="171" t="s">
        <v>1291</v>
      </c>
      <c r="F121" s="171" t="s">
        <v>1525</v>
      </c>
      <c r="G121" s="171" t="s">
        <v>710</v>
      </c>
    </row>
    <row r="122" customFormat="false" ht="15" hidden="false" customHeight="false" outlineLevel="0" collapsed="false">
      <c r="A122" s="171" t="s">
        <v>1690</v>
      </c>
      <c r="B122" s="171" t="s">
        <v>1288</v>
      </c>
      <c r="C122" s="171" t="s">
        <v>1691</v>
      </c>
      <c r="D122" s="171" t="s">
        <v>1692</v>
      </c>
      <c r="E122" s="171" t="s">
        <v>1291</v>
      </c>
      <c r="F122" s="171" t="s">
        <v>609</v>
      </c>
      <c r="G122" s="171" t="s">
        <v>437</v>
      </c>
    </row>
    <row r="123" customFormat="false" ht="15" hidden="false" customHeight="false" outlineLevel="0" collapsed="false">
      <c r="A123" s="171" t="s">
        <v>1693</v>
      </c>
      <c r="B123" s="171" t="s">
        <v>1288</v>
      </c>
      <c r="C123" s="171" t="s">
        <v>1694</v>
      </c>
      <c r="D123" s="171" t="s">
        <v>1695</v>
      </c>
      <c r="E123" s="171" t="s">
        <v>1291</v>
      </c>
      <c r="F123" s="171" t="s">
        <v>547</v>
      </c>
      <c r="G123" s="171" t="s">
        <v>295</v>
      </c>
    </row>
    <row r="124" customFormat="false" ht="15" hidden="false" customHeight="false" outlineLevel="0" collapsed="false">
      <c r="A124" s="171" t="s">
        <v>1696</v>
      </c>
      <c r="B124" s="171" t="s">
        <v>1288</v>
      </c>
      <c r="C124" s="171" t="s">
        <v>1697</v>
      </c>
      <c r="D124" s="171" t="s">
        <v>1698</v>
      </c>
      <c r="E124" s="171" t="s">
        <v>1291</v>
      </c>
      <c r="F124" s="171" t="s">
        <v>1699</v>
      </c>
      <c r="G124" s="171" t="s">
        <v>839</v>
      </c>
    </row>
    <row r="125" customFormat="false" ht="15" hidden="false" customHeight="false" outlineLevel="0" collapsed="false">
      <c r="A125" s="171" t="s">
        <v>1700</v>
      </c>
      <c r="B125" s="171" t="s">
        <v>1288</v>
      </c>
      <c r="C125" s="171" t="s">
        <v>1701</v>
      </c>
      <c r="D125" s="171" t="s">
        <v>1702</v>
      </c>
      <c r="E125" s="171" t="s">
        <v>1291</v>
      </c>
      <c r="F125" s="171" t="s">
        <v>447</v>
      </c>
      <c r="G125" s="171" t="s">
        <v>677</v>
      </c>
    </row>
    <row r="126" customFormat="false" ht="15" hidden="false" customHeight="false" outlineLevel="0" collapsed="false">
      <c r="A126" s="171" t="s">
        <v>1703</v>
      </c>
      <c r="B126" s="171" t="s">
        <v>1288</v>
      </c>
      <c r="C126" s="171" t="s">
        <v>1704</v>
      </c>
      <c r="D126" s="171" t="s">
        <v>1705</v>
      </c>
      <c r="E126" s="171" t="s">
        <v>1291</v>
      </c>
      <c r="F126" s="171" t="s">
        <v>295</v>
      </c>
      <c r="G126" s="171" t="s">
        <v>295</v>
      </c>
    </row>
    <row r="127" customFormat="false" ht="15" hidden="false" customHeight="false" outlineLevel="0" collapsed="false">
      <c r="A127" s="171" t="s">
        <v>1706</v>
      </c>
      <c r="B127" s="171" t="s">
        <v>1288</v>
      </c>
      <c r="C127" s="171" t="s">
        <v>1707</v>
      </c>
      <c r="D127" s="171" t="s">
        <v>1708</v>
      </c>
      <c r="E127" s="171" t="s">
        <v>1291</v>
      </c>
      <c r="F127" s="171" t="s">
        <v>1000</v>
      </c>
      <c r="G127" s="171" t="s">
        <v>320</v>
      </c>
    </row>
    <row r="128" customFormat="false" ht="15" hidden="false" customHeight="false" outlineLevel="0" collapsed="false">
      <c r="A128" s="171" t="s">
        <v>1709</v>
      </c>
      <c r="B128" s="171" t="s">
        <v>1288</v>
      </c>
      <c r="C128" s="171" t="s">
        <v>1710</v>
      </c>
      <c r="D128" s="171" t="s">
        <v>1711</v>
      </c>
      <c r="E128" s="171" t="s">
        <v>1291</v>
      </c>
      <c r="F128" s="171" t="s">
        <v>1348</v>
      </c>
      <c r="G128" s="171" t="s">
        <v>173</v>
      </c>
    </row>
    <row r="129" customFormat="false" ht="15" hidden="false" customHeight="false" outlineLevel="0" collapsed="false">
      <c r="A129" s="171" t="s">
        <v>1712</v>
      </c>
      <c r="B129" s="171" t="s">
        <v>1288</v>
      </c>
      <c r="C129" s="171" t="s">
        <v>1713</v>
      </c>
      <c r="D129" s="171" t="s">
        <v>1714</v>
      </c>
      <c r="E129" s="171" t="s">
        <v>1291</v>
      </c>
      <c r="F129" s="171" t="s">
        <v>1201</v>
      </c>
      <c r="G129" s="171" t="s">
        <v>295</v>
      </c>
    </row>
    <row r="130" customFormat="false" ht="15" hidden="false" customHeight="false" outlineLevel="0" collapsed="false">
      <c r="A130" s="171" t="s">
        <v>1715</v>
      </c>
      <c r="B130" s="171" t="s">
        <v>1288</v>
      </c>
      <c r="C130" s="171" t="s">
        <v>1716</v>
      </c>
      <c r="D130" s="171" t="s">
        <v>1717</v>
      </c>
      <c r="E130" s="171" t="s">
        <v>1291</v>
      </c>
      <c r="F130" s="171" t="s">
        <v>1718</v>
      </c>
      <c r="G130" s="171" t="s">
        <v>642</v>
      </c>
    </row>
    <row r="131" customFormat="false" ht="15" hidden="false" customHeight="false" outlineLevel="0" collapsed="false">
      <c r="A131" s="171" t="s">
        <v>1719</v>
      </c>
      <c r="B131" s="171" t="s">
        <v>1288</v>
      </c>
      <c r="C131" s="171" t="s">
        <v>1720</v>
      </c>
      <c r="D131" s="171" t="s">
        <v>1721</v>
      </c>
      <c r="E131" s="171" t="s">
        <v>1291</v>
      </c>
      <c r="F131" s="171" t="s">
        <v>1722</v>
      </c>
      <c r="G131" s="171" t="s">
        <v>839</v>
      </c>
    </row>
    <row r="132" customFormat="false" ht="15" hidden="false" customHeight="false" outlineLevel="0" collapsed="false">
      <c r="A132" s="171" t="s">
        <v>1723</v>
      </c>
      <c r="B132" s="171" t="s">
        <v>1288</v>
      </c>
      <c r="C132" s="171" t="s">
        <v>1724</v>
      </c>
      <c r="D132" s="171" t="s">
        <v>1725</v>
      </c>
      <c r="E132" s="171" t="s">
        <v>1291</v>
      </c>
      <c r="F132" s="171" t="s">
        <v>1201</v>
      </c>
      <c r="G132" s="171" t="s">
        <v>295</v>
      </c>
    </row>
    <row r="133" customFormat="false" ht="15" hidden="false" customHeight="false" outlineLevel="0" collapsed="false">
      <c r="A133" s="171" t="s">
        <v>1726</v>
      </c>
      <c r="B133" s="171" t="s">
        <v>1288</v>
      </c>
      <c r="C133" s="171" t="s">
        <v>1727</v>
      </c>
      <c r="D133" s="171" t="s">
        <v>1728</v>
      </c>
      <c r="E133" s="171" t="s">
        <v>1291</v>
      </c>
      <c r="F133" s="171" t="s">
        <v>1360</v>
      </c>
      <c r="G133" s="171" t="s">
        <v>396</v>
      </c>
    </row>
    <row r="134" customFormat="false" ht="15" hidden="false" customHeight="false" outlineLevel="0" collapsed="false">
      <c r="A134" s="171" t="s">
        <v>1729</v>
      </c>
      <c r="B134" s="171" t="s">
        <v>1288</v>
      </c>
      <c r="C134" s="171" t="s">
        <v>1730</v>
      </c>
      <c r="D134" s="171" t="s">
        <v>1731</v>
      </c>
      <c r="E134" s="171" t="s">
        <v>1291</v>
      </c>
      <c r="F134" s="171" t="s">
        <v>1661</v>
      </c>
      <c r="G134" s="171" t="s">
        <v>1088</v>
      </c>
    </row>
    <row r="135" customFormat="false" ht="15" hidden="false" customHeight="false" outlineLevel="0" collapsed="false">
      <c r="A135" s="171" t="s">
        <v>73</v>
      </c>
      <c r="B135" s="171" t="s">
        <v>1288</v>
      </c>
      <c r="C135" s="171" t="s">
        <v>1732</v>
      </c>
      <c r="D135" s="171" t="s">
        <v>949</v>
      </c>
      <c r="E135" s="171" t="s">
        <v>1291</v>
      </c>
      <c r="F135" s="171" t="s">
        <v>951</v>
      </c>
      <c r="G135" s="171" t="s">
        <v>952</v>
      </c>
    </row>
    <row r="136" customFormat="false" ht="15" hidden="false" customHeight="false" outlineLevel="0" collapsed="false">
      <c r="A136" s="171" t="s">
        <v>1733</v>
      </c>
      <c r="B136" s="171" t="s">
        <v>1306</v>
      </c>
      <c r="C136" s="171" t="s">
        <v>1734</v>
      </c>
      <c r="D136" s="171" t="s">
        <v>1735</v>
      </c>
      <c r="E136" s="171" t="s">
        <v>1291</v>
      </c>
      <c r="F136" s="171" t="s">
        <v>1736</v>
      </c>
      <c r="G136" s="171" t="s">
        <v>1737</v>
      </c>
    </row>
    <row r="137" customFormat="false" ht="15" hidden="false" customHeight="false" outlineLevel="0" collapsed="false">
      <c r="A137" s="171" t="s">
        <v>1738</v>
      </c>
      <c r="B137" s="171" t="s">
        <v>1288</v>
      </c>
      <c r="C137" s="171" t="s">
        <v>1739</v>
      </c>
      <c r="D137" s="171" t="s">
        <v>1740</v>
      </c>
      <c r="E137" s="171" t="s">
        <v>1291</v>
      </c>
      <c r="F137" s="171" t="s">
        <v>1304</v>
      </c>
      <c r="G137" s="171" t="s">
        <v>642</v>
      </c>
    </row>
    <row r="138" customFormat="false" ht="15" hidden="false" customHeight="false" outlineLevel="0" collapsed="false">
      <c r="A138" s="171" t="s">
        <v>1741</v>
      </c>
      <c r="B138" s="171" t="s">
        <v>1306</v>
      </c>
      <c r="C138" s="171" t="s">
        <v>1742</v>
      </c>
      <c r="D138" s="171" t="s">
        <v>1743</v>
      </c>
      <c r="E138" s="171" t="s">
        <v>1291</v>
      </c>
      <c r="F138" s="171" t="s">
        <v>1744</v>
      </c>
      <c r="G138" s="171" t="s">
        <v>1745</v>
      </c>
    </row>
    <row r="139" customFormat="false" ht="15" hidden="false" customHeight="false" outlineLevel="0" collapsed="false">
      <c r="A139" s="171" t="s">
        <v>1746</v>
      </c>
      <c r="B139" s="171" t="s">
        <v>1288</v>
      </c>
      <c r="C139" s="171" t="s">
        <v>1747</v>
      </c>
      <c r="D139" s="171" t="s">
        <v>1748</v>
      </c>
      <c r="E139" s="171" t="s">
        <v>1291</v>
      </c>
      <c r="F139" s="171" t="s">
        <v>1631</v>
      </c>
      <c r="G139" s="171" t="s">
        <v>260</v>
      </c>
    </row>
    <row r="140" customFormat="false" ht="15" hidden="false" customHeight="false" outlineLevel="0" collapsed="false">
      <c r="A140" s="171" t="s">
        <v>55</v>
      </c>
      <c r="B140" s="171" t="s">
        <v>1288</v>
      </c>
      <c r="C140" s="171" t="s">
        <v>1749</v>
      </c>
      <c r="D140" s="171" t="s">
        <v>750</v>
      </c>
      <c r="E140" s="171" t="s">
        <v>1291</v>
      </c>
      <c r="F140" s="171" t="s">
        <v>465</v>
      </c>
      <c r="G140" s="171" t="s">
        <v>437</v>
      </c>
    </row>
    <row r="141" customFormat="false" ht="15" hidden="false" customHeight="false" outlineLevel="0" collapsed="false">
      <c r="A141" s="171" t="s">
        <v>1750</v>
      </c>
      <c r="B141" s="171" t="s">
        <v>1288</v>
      </c>
      <c r="C141" s="171" t="s">
        <v>1751</v>
      </c>
      <c r="D141" s="171" t="s">
        <v>1752</v>
      </c>
      <c r="E141" s="171" t="s">
        <v>1291</v>
      </c>
      <c r="F141" s="171" t="s">
        <v>785</v>
      </c>
      <c r="G141" s="171" t="s">
        <v>295</v>
      </c>
    </row>
    <row r="142" customFormat="false" ht="15" hidden="false" customHeight="false" outlineLevel="0" collapsed="false">
      <c r="A142" s="171" t="s">
        <v>1753</v>
      </c>
      <c r="B142" s="171" t="s">
        <v>1288</v>
      </c>
      <c r="C142" s="171" t="s">
        <v>1754</v>
      </c>
      <c r="D142" s="171" t="s">
        <v>1755</v>
      </c>
      <c r="E142" s="171" t="s">
        <v>1291</v>
      </c>
      <c r="F142" s="171" t="s">
        <v>1756</v>
      </c>
      <c r="G142" s="171" t="s">
        <v>240</v>
      </c>
    </row>
    <row r="143" customFormat="false" ht="15" hidden="false" customHeight="false" outlineLevel="0" collapsed="false">
      <c r="A143" s="171" t="s">
        <v>1757</v>
      </c>
      <c r="B143" s="171" t="s">
        <v>1288</v>
      </c>
      <c r="C143" s="171" t="s">
        <v>1758</v>
      </c>
      <c r="D143" s="171" t="s">
        <v>1759</v>
      </c>
      <c r="E143" s="171" t="s">
        <v>1291</v>
      </c>
      <c r="F143" s="171" t="s">
        <v>1760</v>
      </c>
      <c r="G143" s="171" t="s">
        <v>288</v>
      </c>
    </row>
    <row r="144" customFormat="false" ht="15" hidden="false" customHeight="false" outlineLevel="0" collapsed="false">
      <c r="A144" s="171" t="s">
        <v>1761</v>
      </c>
      <c r="B144" s="171" t="s">
        <v>1306</v>
      </c>
      <c r="C144" s="171" t="s">
        <v>1762</v>
      </c>
      <c r="D144" s="171" t="s">
        <v>1763</v>
      </c>
      <c r="E144" s="171" t="s">
        <v>1291</v>
      </c>
      <c r="F144" s="171" t="s">
        <v>1764</v>
      </c>
      <c r="G144" s="171" t="s">
        <v>1574</v>
      </c>
    </row>
    <row r="145" customFormat="false" ht="15" hidden="false" customHeight="false" outlineLevel="0" collapsed="false">
      <c r="A145" s="171" t="s">
        <v>1765</v>
      </c>
      <c r="B145" s="171" t="s">
        <v>1288</v>
      </c>
      <c r="C145" s="171" t="s">
        <v>1766</v>
      </c>
      <c r="D145" s="171" t="s">
        <v>1767</v>
      </c>
      <c r="E145" s="171" t="s">
        <v>1291</v>
      </c>
      <c r="F145" s="171" t="s">
        <v>1768</v>
      </c>
      <c r="G145" s="171" t="s">
        <v>710</v>
      </c>
    </row>
    <row r="146" customFormat="false" ht="15" hidden="false" customHeight="false" outlineLevel="0" collapsed="false">
      <c r="A146" s="171" t="s">
        <v>1769</v>
      </c>
      <c r="B146" s="171" t="s">
        <v>1288</v>
      </c>
      <c r="C146" s="171" t="s">
        <v>1770</v>
      </c>
      <c r="D146" s="171" t="s">
        <v>1771</v>
      </c>
      <c r="E146" s="171" t="s">
        <v>1291</v>
      </c>
      <c r="F146" s="171" t="s">
        <v>1772</v>
      </c>
      <c r="G146" s="171" t="s">
        <v>642</v>
      </c>
    </row>
    <row r="147" customFormat="false" ht="15" hidden="false" customHeight="false" outlineLevel="0" collapsed="false">
      <c r="A147" s="171" t="s">
        <v>1773</v>
      </c>
      <c r="B147" s="171" t="s">
        <v>1306</v>
      </c>
      <c r="C147" s="171" t="s">
        <v>1774</v>
      </c>
      <c r="D147" s="171" t="s">
        <v>1775</v>
      </c>
      <c r="E147" s="171" t="s">
        <v>1291</v>
      </c>
      <c r="F147" s="171" t="s">
        <v>710</v>
      </c>
      <c r="G147" s="171" t="s">
        <v>710</v>
      </c>
    </row>
    <row r="148" customFormat="false" ht="15" hidden="false" customHeight="false" outlineLevel="0" collapsed="false">
      <c r="A148" s="171" t="s">
        <v>1776</v>
      </c>
      <c r="B148" s="171" t="s">
        <v>1288</v>
      </c>
      <c r="C148" s="171" t="s">
        <v>1777</v>
      </c>
      <c r="D148" s="171" t="s">
        <v>1778</v>
      </c>
      <c r="E148" s="171" t="s">
        <v>1291</v>
      </c>
      <c r="F148" s="171" t="s">
        <v>1779</v>
      </c>
      <c r="G148" s="171" t="s">
        <v>281</v>
      </c>
    </row>
    <row r="149" customFormat="false" ht="15" hidden="false" customHeight="false" outlineLevel="0" collapsed="false">
      <c r="A149" s="171" t="s">
        <v>1780</v>
      </c>
      <c r="B149" s="171" t="s">
        <v>1288</v>
      </c>
      <c r="C149" s="171" t="s">
        <v>1781</v>
      </c>
      <c r="D149" s="171" t="s">
        <v>1782</v>
      </c>
      <c r="E149" s="171" t="s">
        <v>1291</v>
      </c>
      <c r="F149" s="171" t="s">
        <v>785</v>
      </c>
      <c r="G149" s="171" t="s">
        <v>295</v>
      </c>
    </row>
    <row r="150" customFormat="false" ht="15" hidden="false" customHeight="false" outlineLevel="0" collapsed="false">
      <c r="A150" s="171" t="s">
        <v>1783</v>
      </c>
      <c r="B150" s="171" t="s">
        <v>1306</v>
      </c>
      <c r="C150" s="171" t="s">
        <v>1784</v>
      </c>
      <c r="D150" s="171" t="s">
        <v>1785</v>
      </c>
      <c r="E150" s="171" t="s">
        <v>1291</v>
      </c>
      <c r="F150" s="171" t="s">
        <v>1786</v>
      </c>
      <c r="G150" s="171" t="s">
        <v>1574</v>
      </c>
    </row>
    <row r="151" customFormat="false" ht="15" hidden="false" customHeight="false" outlineLevel="0" collapsed="false">
      <c r="A151" s="171" t="s">
        <v>1787</v>
      </c>
      <c r="B151" s="171" t="s">
        <v>1306</v>
      </c>
      <c r="C151" s="171" t="s">
        <v>1788</v>
      </c>
      <c r="D151" s="171" t="s">
        <v>1789</v>
      </c>
      <c r="E151" s="171" t="s">
        <v>1291</v>
      </c>
      <c r="F151" s="171" t="s">
        <v>1131</v>
      </c>
      <c r="G151" s="171" t="s">
        <v>642</v>
      </c>
    </row>
    <row r="152" customFormat="false" ht="15" hidden="false" customHeight="false" outlineLevel="0" collapsed="false">
      <c r="A152" s="171" t="s">
        <v>57</v>
      </c>
      <c r="B152" s="171" t="s">
        <v>1288</v>
      </c>
      <c r="C152" s="171" t="s">
        <v>1790</v>
      </c>
      <c r="D152" s="171" t="s">
        <v>1791</v>
      </c>
      <c r="E152" s="171" t="s">
        <v>1291</v>
      </c>
      <c r="F152" s="171" t="s">
        <v>1040</v>
      </c>
      <c r="G152" s="171" t="s">
        <v>710</v>
      </c>
    </row>
    <row r="153" customFormat="false" ht="15" hidden="false" customHeight="false" outlineLevel="0" collapsed="false">
      <c r="A153" s="171" t="s">
        <v>1792</v>
      </c>
      <c r="B153" s="171" t="s">
        <v>1288</v>
      </c>
      <c r="C153" s="171" t="s">
        <v>1793</v>
      </c>
      <c r="D153" s="171" t="s">
        <v>1794</v>
      </c>
      <c r="E153" s="171" t="s">
        <v>1291</v>
      </c>
      <c r="F153" s="171" t="s">
        <v>320</v>
      </c>
      <c r="G153" s="171" t="s">
        <v>320</v>
      </c>
    </row>
    <row r="154" customFormat="false" ht="15" hidden="false" customHeight="false" outlineLevel="0" collapsed="false">
      <c r="A154" s="171" t="s">
        <v>1795</v>
      </c>
      <c r="B154" s="171" t="s">
        <v>1306</v>
      </c>
      <c r="C154" s="171" t="s">
        <v>1796</v>
      </c>
      <c r="D154" s="171" t="s">
        <v>1797</v>
      </c>
      <c r="E154" s="171" t="s">
        <v>1291</v>
      </c>
      <c r="F154" s="171" t="s">
        <v>1798</v>
      </c>
      <c r="G154" s="171" t="s">
        <v>295</v>
      </c>
    </row>
    <row r="155" customFormat="false" ht="15" hidden="false" customHeight="false" outlineLevel="0" collapsed="false">
      <c r="A155" s="171" t="s">
        <v>37</v>
      </c>
      <c r="B155" s="171" t="s">
        <v>1288</v>
      </c>
      <c r="C155" s="171" t="s">
        <v>1799</v>
      </c>
      <c r="D155" s="171" t="s">
        <v>707</v>
      </c>
      <c r="E155" s="171" t="s">
        <v>1291</v>
      </c>
      <c r="F155" s="171" t="s">
        <v>709</v>
      </c>
      <c r="G155" s="171" t="s">
        <v>710</v>
      </c>
    </row>
    <row r="156" customFormat="false" ht="15" hidden="false" customHeight="false" outlineLevel="0" collapsed="false">
      <c r="A156" s="171" t="s">
        <v>1800</v>
      </c>
      <c r="B156" s="171" t="s">
        <v>1288</v>
      </c>
      <c r="C156" s="171" t="s">
        <v>1801</v>
      </c>
      <c r="D156" s="171" t="s">
        <v>1802</v>
      </c>
      <c r="E156" s="171" t="s">
        <v>1291</v>
      </c>
      <c r="F156" s="171" t="s">
        <v>1201</v>
      </c>
      <c r="G156" s="171" t="s">
        <v>295</v>
      </c>
    </row>
    <row r="157" customFormat="false" ht="15" hidden="false" customHeight="false" outlineLevel="0" collapsed="false">
      <c r="A157" s="171" t="s">
        <v>1803</v>
      </c>
      <c r="B157" s="171" t="s">
        <v>1288</v>
      </c>
      <c r="C157" s="171" t="s">
        <v>1804</v>
      </c>
      <c r="D157" s="171" t="s">
        <v>1805</v>
      </c>
      <c r="E157" s="171" t="s">
        <v>1291</v>
      </c>
      <c r="F157" s="171" t="s">
        <v>1806</v>
      </c>
      <c r="G157" s="171" t="s">
        <v>710</v>
      </c>
    </row>
    <row r="158" customFormat="false" ht="15" hidden="false" customHeight="false" outlineLevel="0" collapsed="false">
      <c r="A158" s="171" t="s">
        <v>1807</v>
      </c>
      <c r="B158" s="171" t="s">
        <v>1306</v>
      </c>
      <c r="C158" s="171" t="s">
        <v>1808</v>
      </c>
      <c r="D158" s="171" t="s">
        <v>1809</v>
      </c>
      <c r="E158" s="171" t="s">
        <v>1291</v>
      </c>
      <c r="F158" s="171" t="s">
        <v>1810</v>
      </c>
      <c r="G158" s="171" t="s">
        <v>1339</v>
      </c>
    </row>
    <row r="159" customFormat="false" ht="15" hidden="false" customHeight="false" outlineLevel="0" collapsed="false">
      <c r="A159" s="171" t="s">
        <v>1811</v>
      </c>
      <c r="B159" s="171" t="s">
        <v>1306</v>
      </c>
      <c r="C159" s="171" t="s">
        <v>1812</v>
      </c>
      <c r="D159" s="171" t="s">
        <v>1813</v>
      </c>
      <c r="E159" s="171" t="s">
        <v>1291</v>
      </c>
      <c r="F159" s="171" t="s">
        <v>1814</v>
      </c>
      <c r="G159" s="171" t="s">
        <v>1815</v>
      </c>
    </row>
    <row r="160" customFormat="false" ht="15" hidden="false" customHeight="false" outlineLevel="0" collapsed="false">
      <c r="A160" s="171" t="s">
        <v>1816</v>
      </c>
      <c r="B160" s="171" t="s">
        <v>1288</v>
      </c>
      <c r="C160" s="171" t="s">
        <v>1817</v>
      </c>
      <c r="D160" s="171" t="s">
        <v>1818</v>
      </c>
      <c r="E160" s="171" t="s">
        <v>1291</v>
      </c>
      <c r="F160" s="171" t="s">
        <v>1661</v>
      </c>
      <c r="G160" s="171" t="s">
        <v>1088</v>
      </c>
    </row>
    <row r="161" customFormat="false" ht="15" hidden="false" customHeight="false" outlineLevel="0" collapsed="false">
      <c r="A161" s="171" t="s">
        <v>1819</v>
      </c>
      <c r="B161" s="171" t="s">
        <v>1288</v>
      </c>
      <c r="C161" s="171" t="s">
        <v>1491</v>
      </c>
      <c r="D161" s="171" t="s">
        <v>1492</v>
      </c>
      <c r="E161" s="171" t="s">
        <v>1291</v>
      </c>
      <c r="F161" s="171" t="s">
        <v>1493</v>
      </c>
      <c r="G161" s="171" t="s">
        <v>260</v>
      </c>
    </row>
    <row r="162" customFormat="false" ht="15" hidden="false" customHeight="false" outlineLevel="0" collapsed="false">
      <c r="A162" s="171" t="s">
        <v>1820</v>
      </c>
      <c r="B162" s="171" t="s">
        <v>1306</v>
      </c>
      <c r="C162" s="171" t="s">
        <v>1821</v>
      </c>
      <c r="D162" s="171" t="s">
        <v>1822</v>
      </c>
      <c r="E162" s="171" t="s">
        <v>1291</v>
      </c>
      <c r="F162" s="171" t="s">
        <v>1823</v>
      </c>
      <c r="G162" s="171" t="s">
        <v>1344</v>
      </c>
    </row>
    <row r="163" customFormat="false" ht="15" hidden="false" customHeight="false" outlineLevel="0" collapsed="false">
      <c r="A163" s="171" t="s">
        <v>1824</v>
      </c>
      <c r="B163" s="171" t="s">
        <v>1306</v>
      </c>
      <c r="C163" s="171" t="s">
        <v>1825</v>
      </c>
      <c r="D163" s="171" t="s">
        <v>1826</v>
      </c>
      <c r="E163" s="171" t="s">
        <v>1291</v>
      </c>
      <c r="F163" s="171" t="s">
        <v>1827</v>
      </c>
      <c r="G163" s="171" t="s">
        <v>173</v>
      </c>
    </row>
    <row r="164" customFormat="false" ht="15" hidden="false" customHeight="false" outlineLevel="0" collapsed="false">
      <c r="A164" s="171" t="s">
        <v>69</v>
      </c>
      <c r="B164" s="171" t="s">
        <v>1288</v>
      </c>
      <c r="C164" s="171" t="s">
        <v>1472</v>
      </c>
      <c r="D164" s="171" t="s">
        <v>1473</v>
      </c>
      <c r="E164" s="171" t="s">
        <v>1291</v>
      </c>
      <c r="F164" s="171" t="s">
        <v>1201</v>
      </c>
      <c r="G164" s="171" t="s">
        <v>295</v>
      </c>
    </row>
    <row r="165" customFormat="false" ht="15" hidden="false" customHeight="false" outlineLevel="0" collapsed="false">
      <c r="A165" s="171" t="s">
        <v>1828</v>
      </c>
      <c r="B165" s="171" t="s">
        <v>1288</v>
      </c>
      <c r="C165" s="171" t="s">
        <v>1829</v>
      </c>
      <c r="D165" s="171" t="s">
        <v>1830</v>
      </c>
      <c r="E165" s="171" t="s">
        <v>1291</v>
      </c>
      <c r="F165" s="171" t="s">
        <v>1201</v>
      </c>
      <c r="G165" s="171" t="s">
        <v>295</v>
      </c>
    </row>
    <row r="166" customFormat="false" ht="15" hidden="false" customHeight="false" outlineLevel="0" collapsed="false">
      <c r="A166" s="171" t="s">
        <v>1831</v>
      </c>
      <c r="B166" s="171" t="s">
        <v>1288</v>
      </c>
      <c r="C166" s="171" t="s">
        <v>1832</v>
      </c>
      <c r="D166" s="171" t="s">
        <v>1833</v>
      </c>
      <c r="E166" s="171" t="s">
        <v>1291</v>
      </c>
      <c r="F166" s="171" t="s">
        <v>865</v>
      </c>
      <c r="G166" s="171" t="s">
        <v>240</v>
      </c>
    </row>
    <row r="167" customFormat="false" ht="15" hidden="false" customHeight="false" outlineLevel="0" collapsed="false">
      <c r="A167" s="171" t="s">
        <v>1834</v>
      </c>
      <c r="B167" s="171" t="s">
        <v>1306</v>
      </c>
      <c r="C167" s="171" t="s">
        <v>1835</v>
      </c>
      <c r="D167" s="171" t="s">
        <v>1836</v>
      </c>
      <c r="E167" s="171" t="s">
        <v>1291</v>
      </c>
      <c r="F167" s="171" t="s">
        <v>1339</v>
      </c>
      <c r="G167" s="171" t="s">
        <v>1339</v>
      </c>
    </row>
    <row r="168" customFormat="false" ht="15" hidden="false" customHeight="false" outlineLevel="0" collapsed="false">
      <c r="A168" s="171" t="s">
        <v>1837</v>
      </c>
      <c r="B168" s="171" t="s">
        <v>1306</v>
      </c>
      <c r="C168" s="171" t="s">
        <v>1838</v>
      </c>
      <c r="D168" s="171" t="s">
        <v>1839</v>
      </c>
      <c r="E168" s="171" t="s">
        <v>1291</v>
      </c>
      <c r="F168" s="171" t="s">
        <v>609</v>
      </c>
      <c r="G168" s="171" t="s">
        <v>1840</v>
      </c>
    </row>
    <row r="169" customFormat="false" ht="15" hidden="false" customHeight="false" outlineLevel="0" collapsed="false">
      <c r="A169" s="171" t="s">
        <v>1841</v>
      </c>
      <c r="B169" s="171" t="s">
        <v>1288</v>
      </c>
      <c r="C169" s="171" t="s">
        <v>1842</v>
      </c>
      <c r="D169" s="171" t="s">
        <v>1843</v>
      </c>
      <c r="E169" s="171" t="s">
        <v>1291</v>
      </c>
      <c r="F169" s="171" t="s">
        <v>1149</v>
      </c>
      <c r="G169" s="171" t="s">
        <v>1102</v>
      </c>
    </row>
    <row r="170" customFormat="false" ht="15" hidden="false" customHeight="false" outlineLevel="0" collapsed="false">
      <c r="A170" s="171" t="s">
        <v>1844</v>
      </c>
      <c r="B170" s="171" t="s">
        <v>1288</v>
      </c>
      <c r="C170" s="171" t="s">
        <v>1845</v>
      </c>
      <c r="D170" s="171" t="s">
        <v>1846</v>
      </c>
      <c r="E170" s="171" t="s">
        <v>1291</v>
      </c>
      <c r="F170" s="171" t="s">
        <v>1847</v>
      </c>
      <c r="G170" s="171" t="s">
        <v>747</v>
      </c>
    </row>
    <row r="171" customFormat="false" ht="15" hidden="false" customHeight="false" outlineLevel="0" collapsed="false">
      <c r="A171" s="171" t="s">
        <v>127</v>
      </c>
      <c r="B171" s="171" t="s">
        <v>1288</v>
      </c>
      <c r="C171" s="171" t="s">
        <v>1848</v>
      </c>
      <c r="D171" s="171" t="s">
        <v>1849</v>
      </c>
      <c r="E171" s="171" t="s">
        <v>1291</v>
      </c>
      <c r="F171" s="171" t="s">
        <v>1246</v>
      </c>
      <c r="G171" s="171" t="s">
        <v>295</v>
      </c>
    </row>
    <row r="172" customFormat="false" ht="15" hidden="false" customHeight="false" outlineLevel="0" collapsed="false">
      <c r="A172" s="171" t="s">
        <v>1850</v>
      </c>
      <c r="B172" s="171" t="s">
        <v>1288</v>
      </c>
      <c r="C172" s="171" t="s">
        <v>1851</v>
      </c>
      <c r="D172" s="171" t="s">
        <v>1852</v>
      </c>
      <c r="E172" s="171" t="s">
        <v>1291</v>
      </c>
      <c r="F172" s="171" t="s">
        <v>1853</v>
      </c>
      <c r="G172" s="171" t="s">
        <v>839</v>
      </c>
    </row>
    <row r="173" customFormat="false" ht="15" hidden="false" customHeight="false" outlineLevel="0" collapsed="false">
      <c r="A173" s="171" t="s">
        <v>1854</v>
      </c>
      <c r="B173" s="171" t="s">
        <v>1288</v>
      </c>
      <c r="C173" s="171" t="s">
        <v>1855</v>
      </c>
      <c r="D173" s="171" t="s">
        <v>1856</v>
      </c>
      <c r="E173" s="171" t="s">
        <v>1291</v>
      </c>
      <c r="F173" s="171" t="s">
        <v>1768</v>
      </c>
      <c r="G173" s="171" t="s">
        <v>710</v>
      </c>
    </row>
    <row r="174" customFormat="false" ht="15" hidden="false" customHeight="false" outlineLevel="0" collapsed="false">
      <c r="A174" s="171" t="s">
        <v>1857</v>
      </c>
      <c r="B174" s="171" t="s">
        <v>1288</v>
      </c>
      <c r="C174" s="171" t="s">
        <v>1858</v>
      </c>
      <c r="D174" s="171" t="s">
        <v>1859</v>
      </c>
      <c r="E174" s="171" t="s">
        <v>1291</v>
      </c>
      <c r="F174" s="171" t="s">
        <v>1258</v>
      </c>
      <c r="G174" s="171" t="s">
        <v>437</v>
      </c>
    </row>
    <row r="175" customFormat="false" ht="15" hidden="false" customHeight="false" outlineLevel="0" collapsed="false">
      <c r="A175" s="171" t="s">
        <v>1860</v>
      </c>
      <c r="B175" s="171" t="s">
        <v>1288</v>
      </c>
      <c r="C175" s="171" t="s">
        <v>1861</v>
      </c>
      <c r="D175" s="171" t="s">
        <v>1862</v>
      </c>
      <c r="E175" s="171" t="s">
        <v>1291</v>
      </c>
      <c r="F175" s="171" t="s">
        <v>412</v>
      </c>
      <c r="G175" s="171" t="s">
        <v>320</v>
      </c>
    </row>
    <row r="176" customFormat="false" ht="15" hidden="false" customHeight="false" outlineLevel="0" collapsed="false">
      <c r="A176" s="171" t="s">
        <v>1863</v>
      </c>
      <c r="B176" s="171" t="s">
        <v>1288</v>
      </c>
      <c r="C176" s="171" t="s">
        <v>1864</v>
      </c>
      <c r="D176" s="171" t="s">
        <v>1865</v>
      </c>
      <c r="E176" s="171" t="s">
        <v>1291</v>
      </c>
      <c r="F176" s="171" t="s">
        <v>1866</v>
      </c>
      <c r="G176" s="171" t="s">
        <v>952</v>
      </c>
    </row>
    <row r="177" customFormat="false" ht="15" hidden="false" customHeight="false" outlineLevel="0" collapsed="false">
      <c r="A177" s="171" t="s">
        <v>1867</v>
      </c>
      <c r="B177" s="171" t="s">
        <v>1288</v>
      </c>
      <c r="C177" s="171" t="s">
        <v>1868</v>
      </c>
      <c r="D177" s="171" t="s">
        <v>1869</v>
      </c>
      <c r="E177" s="171" t="s">
        <v>1291</v>
      </c>
      <c r="F177" s="171" t="s">
        <v>425</v>
      </c>
      <c r="G177" s="171" t="s">
        <v>295</v>
      </c>
    </row>
    <row r="178" customFormat="false" ht="15" hidden="false" customHeight="false" outlineLevel="0" collapsed="false">
      <c r="A178" s="171" t="s">
        <v>1870</v>
      </c>
      <c r="B178" s="171" t="s">
        <v>1306</v>
      </c>
      <c r="C178" s="171" t="s">
        <v>1871</v>
      </c>
      <c r="D178" s="171" t="s">
        <v>1872</v>
      </c>
      <c r="E178" s="171" t="s">
        <v>1291</v>
      </c>
      <c r="F178" s="171" t="s">
        <v>1873</v>
      </c>
      <c r="G178" s="171" t="s">
        <v>1102</v>
      </c>
    </row>
    <row r="179" customFormat="false" ht="15" hidden="false" customHeight="false" outlineLevel="0" collapsed="false">
      <c r="A179" s="171" t="s">
        <v>1874</v>
      </c>
      <c r="B179" s="171" t="s">
        <v>1306</v>
      </c>
      <c r="C179" s="171" t="s">
        <v>1875</v>
      </c>
      <c r="D179" s="171" t="s">
        <v>1876</v>
      </c>
      <c r="E179" s="171" t="s">
        <v>1291</v>
      </c>
      <c r="F179" s="171" t="s">
        <v>1877</v>
      </c>
      <c r="G179" s="171" t="s">
        <v>1574</v>
      </c>
    </row>
    <row r="180" customFormat="false" ht="15" hidden="false" customHeight="false" outlineLevel="0" collapsed="false">
      <c r="A180" s="171" t="s">
        <v>1878</v>
      </c>
      <c r="B180" s="171" t="s">
        <v>1306</v>
      </c>
      <c r="C180" s="171" t="s">
        <v>1879</v>
      </c>
      <c r="D180" s="171" t="s">
        <v>1880</v>
      </c>
      <c r="E180" s="171" t="s">
        <v>1291</v>
      </c>
      <c r="F180" s="171" t="s">
        <v>1653</v>
      </c>
      <c r="G180" s="171" t="s">
        <v>274</v>
      </c>
    </row>
    <row r="181" customFormat="false" ht="15" hidden="false" customHeight="false" outlineLevel="0" collapsed="false">
      <c r="A181" s="171" t="s">
        <v>1881</v>
      </c>
      <c r="B181" s="171" t="s">
        <v>1306</v>
      </c>
      <c r="C181" s="171" t="s">
        <v>1882</v>
      </c>
      <c r="D181" s="171" t="s">
        <v>1883</v>
      </c>
      <c r="E181" s="171" t="s">
        <v>1291</v>
      </c>
      <c r="F181" s="171" t="s">
        <v>1265</v>
      </c>
      <c r="G181" s="171" t="s">
        <v>1266</v>
      </c>
    </row>
    <row r="182" customFormat="false" ht="15" hidden="false" customHeight="false" outlineLevel="0" collapsed="false">
      <c r="A182" s="171" t="s">
        <v>1884</v>
      </c>
      <c r="B182" s="171" t="s">
        <v>1288</v>
      </c>
      <c r="C182" s="171" t="s">
        <v>1885</v>
      </c>
      <c r="D182" s="171" t="s">
        <v>1886</v>
      </c>
      <c r="E182" s="171" t="s">
        <v>1291</v>
      </c>
      <c r="F182" s="171" t="s">
        <v>425</v>
      </c>
      <c r="G182" s="171" t="s">
        <v>295</v>
      </c>
    </row>
    <row r="183" customFormat="false" ht="15" hidden="false" customHeight="false" outlineLevel="0" collapsed="false">
      <c r="A183" s="171" t="s">
        <v>1887</v>
      </c>
      <c r="B183" s="171" t="s">
        <v>1288</v>
      </c>
      <c r="C183" s="171" t="s">
        <v>1888</v>
      </c>
      <c r="D183" s="171" t="s">
        <v>1889</v>
      </c>
      <c r="E183" s="171" t="s">
        <v>1291</v>
      </c>
      <c r="F183" s="171" t="s">
        <v>1890</v>
      </c>
      <c r="G183" s="171" t="s">
        <v>396</v>
      </c>
    </row>
    <row r="184" customFormat="false" ht="15" hidden="false" customHeight="false" outlineLevel="0" collapsed="false">
      <c r="A184" s="171" t="s">
        <v>1891</v>
      </c>
      <c r="B184" s="171" t="s">
        <v>1288</v>
      </c>
      <c r="C184" s="171" t="s">
        <v>1892</v>
      </c>
      <c r="D184" s="171" t="s">
        <v>1893</v>
      </c>
      <c r="E184" s="171" t="s">
        <v>1291</v>
      </c>
      <c r="F184" s="171" t="s">
        <v>295</v>
      </c>
      <c r="G184" s="171" t="s">
        <v>295</v>
      </c>
    </row>
    <row r="185" customFormat="false" ht="15" hidden="false" customHeight="false" outlineLevel="0" collapsed="false">
      <c r="A185" s="171" t="s">
        <v>1894</v>
      </c>
      <c r="B185" s="171" t="s">
        <v>1288</v>
      </c>
      <c r="C185" s="171" t="s">
        <v>1895</v>
      </c>
      <c r="D185" s="171" t="s">
        <v>1896</v>
      </c>
      <c r="E185" s="171" t="s">
        <v>1291</v>
      </c>
      <c r="F185" s="171" t="s">
        <v>1897</v>
      </c>
      <c r="G185" s="171" t="s">
        <v>677</v>
      </c>
    </row>
    <row r="186" customFormat="false" ht="15" hidden="false" customHeight="false" outlineLevel="0" collapsed="false">
      <c r="A186" s="171" t="s">
        <v>1898</v>
      </c>
      <c r="B186" s="171" t="s">
        <v>1306</v>
      </c>
      <c r="C186" s="171" t="s">
        <v>1899</v>
      </c>
      <c r="D186" s="171" t="s">
        <v>1900</v>
      </c>
      <c r="E186" s="171" t="s">
        <v>1291</v>
      </c>
      <c r="F186" s="171" t="s">
        <v>1901</v>
      </c>
      <c r="G186" s="171" t="s">
        <v>1902</v>
      </c>
    </row>
    <row r="187" customFormat="false" ht="15" hidden="false" customHeight="false" outlineLevel="0" collapsed="false">
      <c r="A187" s="171" t="s">
        <v>1903</v>
      </c>
      <c r="B187" s="171" t="s">
        <v>1288</v>
      </c>
      <c r="C187" s="171" t="s">
        <v>1904</v>
      </c>
      <c r="D187" s="171" t="s">
        <v>1905</v>
      </c>
      <c r="E187" s="171" t="s">
        <v>1291</v>
      </c>
      <c r="F187" s="171" t="s">
        <v>1906</v>
      </c>
      <c r="G187" s="171" t="s">
        <v>288</v>
      </c>
    </row>
    <row r="188" customFormat="false" ht="15" hidden="false" customHeight="false" outlineLevel="0" collapsed="false">
      <c r="A188" s="171" t="s">
        <v>1907</v>
      </c>
      <c r="B188" s="171" t="s">
        <v>1288</v>
      </c>
      <c r="C188" s="171" t="s">
        <v>1749</v>
      </c>
      <c r="D188" s="171" t="s">
        <v>750</v>
      </c>
      <c r="E188" s="171" t="s">
        <v>1291</v>
      </c>
      <c r="F188" s="171" t="s">
        <v>465</v>
      </c>
      <c r="G188" s="171" t="s">
        <v>437</v>
      </c>
    </row>
    <row r="189" customFormat="false" ht="15" hidden="false" customHeight="false" outlineLevel="0" collapsed="false">
      <c r="A189" s="171" t="s">
        <v>1908</v>
      </c>
      <c r="B189" s="171" t="s">
        <v>1288</v>
      </c>
      <c r="C189" s="171" t="s">
        <v>1527</v>
      </c>
      <c r="D189" s="171" t="s">
        <v>1528</v>
      </c>
      <c r="E189" s="171" t="s">
        <v>1291</v>
      </c>
      <c r="F189" s="171" t="s">
        <v>1450</v>
      </c>
      <c r="G189" s="171" t="s">
        <v>274</v>
      </c>
    </row>
    <row r="190" customFormat="false" ht="15" hidden="false" customHeight="false" outlineLevel="0" collapsed="false">
      <c r="A190" s="171" t="s">
        <v>1909</v>
      </c>
      <c r="B190" s="171" t="s">
        <v>1288</v>
      </c>
      <c r="C190" s="171" t="s">
        <v>1910</v>
      </c>
      <c r="D190" s="171" t="s">
        <v>1911</v>
      </c>
      <c r="E190" s="171" t="s">
        <v>1291</v>
      </c>
      <c r="F190" s="171" t="s">
        <v>1912</v>
      </c>
      <c r="G190" s="171" t="s">
        <v>1286</v>
      </c>
    </row>
    <row r="191" customFormat="false" ht="15" hidden="false" customHeight="false" outlineLevel="0" collapsed="false">
      <c r="A191" s="171" t="s">
        <v>1913</v>
      </c>
      <c r="B191" s="171" t="s">
        <v>1306</v>
      </c>
      <c r="C191" s="171" t="s">
        <v>1914</v>
      </c>
      <c r="D191" s="171" t="s">
        <v>1915</v>
      </c>
      <c r="E191" s="171" t="s">
        <v>1291</v>
      </c>
      <c r="F191" s="171" t="s">
        <v>1916</v>
      </c>
      <c r="G191" s="171" t="s">
        <v>288</v>
      </c>
    </row>
    <row r="192" customFormat="false" ht="15" hidden="false" customHeight="false" outlineLevel="0" collapsed="false">
      <c r="A192" s="171" t="s">
        <v>1917</v>
      </c>
      <c r="B192" s="171" t="s">
        <v>1288</v>
      </c>
      <c r="C192" s="171" t="s">
        <v>1918</v>
      </c>
      <c r="D192" s="171" t="s">
        <v>1919</v>
      </c>
      <c r="E192" s="171" t="s">
        <v>1291</v>
      </c>
      <c r="F192" s="171" t="s">
        <v>512</v>
      </c>
      <c r="G192" s="171" t="s">
        <v>260</v>
      </c>
    </row>
    <row r="193" customFormat="false" ht="15" hidden="false" customHeight="false" outlineLevel="0" collapsed="false">
      <c r="A193" s="171" t="s">
        <v>1920</v>
      </c>
      <c r="B193" s="171" t="s">
        <v>1306</v>
      </c>
      <c r="C193" s="171" t="s">
        <v>1921</v>
      </c>
      <c r="D193" s="171" t="s">
        <v>1922</v>
      </c>
      <c r="E193" s="171" t="s">
        <v>1291</v>
      </c>
      <c r="F193" s="171" t="s">
        <v>395</v>
      </c>
      <c r="G193" s="171" t="s">
        <v>396</v>
      </c>
    </row>
    <row r="194" customFormat="false" ht="15" hidden="false" customHeight="false" outlineLevel="0" collapsed="false">
      <c r="A194" s="171" t="s">
        <v>1923</v>
      </c>
      <c r="B194" s="171" t="s">
        <v>1288</v>
      </c>
      <c r="C194" s="171" t="s">
        <v>1924</v>
      </c>
      <c r="D194" s="171" t="s">
        <v>1925</v>
      </c>
      <c r="E194" s="171" t="s">
        <v>1291</v>
      </c>
      <c r="F194" s="171" t="s">
        <v>1550</v>
      </c>
      <c r="G194" s="171" t="s">
        <v>295</v>
      </c>
    </row>
    <row r="195" customFormat="false" ht="15" hidden="false" customHeight="false" outlineLevel="0" collapsed="false">
      <c r="A195" s="171" t="s">
        <v>1926</v>
      </c>
      <c r="B195" s="171" t="s">
        <v>1288</v>
      </c>
      <c r="C195" s="171" t="s">
        <v>1927</v>
      </c>
      <c r="D195" s="171" t="s">
        <v>1928</v>
      </c>
      <c r="E195" s="171" t="s">
        <v>1291</v>
      </c>
      <c r="F195" s="171" t="s">
        <v>1929</v>
      </c>
      <c r="G195" s="171" t="s">
        <v>437</v>
      </c>
    </row>
    <row r="196" customFormat="false" ht="15" hidden="false" customHeight="false" outlineLevel="0" collapsed="false">
      <c r="A196" s="171" t="s">
        <v>1930</v>
      </c>
      <c r="B196" s="171" t="s">
        <v>1306</v>
      </c>
      <c r="C196" s="171" t="s">
        <v>1931</v>
      </c>
      <c r="D196" s="171" t="s">
        <v>1932</v>
      </c>
      <c r="E196" s="171" t="s">
        <v>1291</v>
      </c>
      <c r="F196" s="171" t="s">
        <v>1446</v>
      </c>
      <c r="G196" s="171" t="s">
        <v>396</v>
      </c>
    </row>
    <row r="197" customFormat="false" ht="15" hidden="false" customHeight="false" outlineLevel="0" collapsed="false">
      <c r="A197" s="171" t="s">
        <v>1933</v>
      </c>
      <c r="B197" s="171" t="s">
        <v>1306</v>
      </c>
      <c r="C197" s="171" t="s">
        <v>1934</v>
      </c>
      <c r="D197" s="171" t="s">
        <v>1935</v>
      </c>
      <c r="E197" s="171" t="s">
        <v>1291</v>
      </c>
      <c r="F197" s="171" t="s">
        <v>1936</v>
      </c>
      <c r="G197" s="171" t="s">
        <v>1102</v>
      </c>
    </row>
    <row r="198" customFormat="false" ht="15" hidden="false" customHeight="false" outlineLevel="0" collapsed="false">
      <c r="A198" s="171" t="s">
        <v>1937</v>
      </c>
      <c r="B198" s="171" t="s">
        <v>1288</v>
      </c>
      <c r="C198" s="171" t="s">
        <v>1938</v>
      </c>
      <c r="D198" s="171" t="s">
        <v>1939</v>
      </c>
      <c r="E198" s="171" t="s">
        <v>1291</v>
      </c>
      <c r="F198" s="171" t="s">
        <v>295</v>
      </c>
      <c r="G198" s="171" t="s">
        <v>295</v>
      </c>
    </row>
    <row r="199" customFormat="false" ht="15" hidden="false" customHeight="false" outlineLevel="0" collapsed="false">
      <c r="A199" s="171" t="s">
        <v>1940</v>
      </c>
      <c r="B199" s="171" t="s">
        <v>1288</v>
      </c>
      <c r="C199" s="171" t="s">
        <v>1888</v>
      </c>
      <c r="D199" s="171" t="s">
        <v>1941</v>
      </c>
      <c r="E199" s="171" t="s">
        <v>1291</v>
      </c>
      <c r="F199" s="171" t="s">
        <v>447</v>
      </c>
      <c r="G199" s="171" t="s">
        <v>677</v>
      </c>
    </row>
    <row r="200" customFormat="false" ht="15" hidden="false" customHeight="false" outlineLevel="0" collapsed="false">
      <c r="A200" s="171" t="s">
        <v>1942</v>
      </c>
      <c r="B200" s="171" t="s">
        <v>1288</v>
      </c>
      <c r="C200" s="171" t="s">
        <v>1943</v>
      </c>
      <c r="D200" s="171" t="s">
        <v>1944</v>
      </c>
      <c r="E200" s="171" t="s">
        <v>1291</v>
      </c>
      <c r="F200" s="171" t="s">
        <v>1760</v>
      </c>
      <c r="G200" s="171" t="s">
        <v>454</v>
      </c>
    </row>
    <row r="201" customFormat="false" ht="15" hidden="false" customHeight="false" outlineLevel="0" collapsed="false">
      <c r="A201" s="171" t="s">
        <v>131</v>
      </c>
      <c r="B201" s="171" t="s">
        <v>1288</v>
      </c>
      <c r="C201" s="171" t="s">
        <v>1945</v>
      </c>
      <c r="D201" s="171" t="s">
        <v>1152</v>
      </c>
      <c r="E201" s="171" t="s">
        <v>1291</v>
      </c>
      <c r="F201" s="171" t="s">
        <v>877</v>
      </c>
      <c r="G201" s="171" t="s">
        <v>281</v>
      </c>
    </row>
    <row r="202" customFormat="false" ht="15" hidden="false" customHeight="false" outlineLevel="0" collapsed="false">
      <c r="A202" s="171" t="s">
        <v>1946</v>
      </c>
      <c r="B202" s="171" t="s">
        <v>1288</v>
      </c>
      <c r="C202" s="171" t="s">
        <v>1947</v>
      </c>
      <c r="D202" s="171" t="s">
        <v>1948</v>
      </c>
      <c r="E202" s="171" t="s">
        <v>1291</v>
      </c>
      <c r="F202" s="171" t="s">
        <v>1949</v>
      </c>
      <c r="G202" s="171" t="s">
        <v>240</v>
      </c>
    </row>
    <row r="203" customFormat="false" ht="15" hidden="false" customHeight="false" outlineLevel="0" collapsed="false">
      <c r="A203" s="171" t="s">
        <v>1950</v>
      </c>
      <c r="B203" s="171" t="s">
        <v>1306</v>
      </c>
      <c r="C203" s="171" t="s">
        <v>1951</v>
      </c>
      <c r="D203" s="171" t="s">
        <v>1952</v>
      </c>
      <c r="E203" s="171" t="s">
        <v>1291</v>
      </c>
      <c r="F203" s="171" t="s">
        <v>1953</v>
      </c>
      <c r="G203" s="171" t="s">
        <v>1574</v>
      </c>
    </row>
    <row r="204" customFormat="false" ht="15" hidden="false" customHeight="false" outlineLevel="0" collapsed="false">
      <c r="A204" s="171" t="s">
        <v>63</v>
      </c>
      <c r="B204" s="171" t="s">
        <v>1288</v>
      </c>
      <c r="C204" s="171" t="s">
        <v>1954</v>
      </c>
      <c r="D204" s="171" t="s">
        <v>1955</v>
      </c>
      <c r="E204" s="171" t="s">
        <v>1291</v>
      </c>
      <c r="F204" s="171" t="s">
        <v>383</v>
      </c>
      <c r="G204" s="171" t="s">
        <v>268</v>
      </c>
    </row>
    <row r="205" customFormat="false" ht="15" hidden="false" customHeight="false" outlineLevel="0" collapsed="false">
      <c r="A205" s="171" t="s">
        <v>1956</v>
      </c>
      <c r="B205" s="171" t="s">
        <v>1288</v>
      </c>
      <c r="C205" s="171" t="s">
        <v>1957</v>
      </c>
      <c r="D205" s="171" t="s">
        <v>1958</v>
      </c>
      <c r="E205" s="171" t="s">
        <v>1291</v>
      </c>
      <c r="F205" s="171" t="s">
        <v>1238</v>
      </c>
      <c r="G205" s="171" t="s">
        <v>710</v>
      </c>
    </row>
    <row r="206" customFormat="false" ht="15" hidden="false" customHeight="false" outlineLevel="0" collapsed="false">
      <c r="A206" s="171" t="s">
        <v>1959</v>
      </c>
      <c r="B206" s="171" t="s">
        <v>1288</v>
      </c>
      <c r="C206" s="171" t="s">
        <v>1960</v>
      </c>
      <c r="D206" s="171" t="s">
        <v>925</v>
      </c>
      <c r="E206" s="171" t="s">
        <v>1291</v>
      </c>
      <c r="F206" s="171" t="s">
        <v>927</v>
      </c>
      <c r="G206" s="171" t="s">
        <v>288</v>
      </c>
    </row>
    <row r="207" customFormat="false" ht="15" hidden="false" customHeight="false" outlineLevel="0" collapsed="false">
      <c r="A207" s="171" t="s">
        <v>1961</v>
      </c>
      <c r="B207" s="171" t="s">
        <v>1306</v>
      </c>
      <c r="C207" s="171" t="s">
        <v>1962</v>
      </c>
      <c r="D207" s="171" t="s">
        <v>1963</v>
      </c>
      <c r="E207" s="171" t="s">
        <v>1291</v>
      </c>
      <c r="F207" s="171" t="s">
        <v>1964</v>
      </c>
      <c r="G207" s="171" t="s">
        <v>1102</v>
      </c>
    </row>
    <row r="208" customFormat="false" ht="15" hidden="false" customHeight="false" outlineLevel="0" collapsed="false">
      <c r="A208" s="171" t="s">
        <v>1965</v>
      </c>
      <c r="B208" s="171" t="s">
        <v>1288</v>
      </c>
      <c r="C208" s="171" t="s">
        <v>1966</v>
      </c>
      <c r="D208" s="171" t="s">
        <v>1967</v>
      </c>
      <c r="E208" s="171" t="s">
        <v>1291</v>
      </c>
      <c r="F208" s="171" t="s">
        <v>1968</v>
      </c>
      <c r="G208" s="171" t="s">
        <v>396</v>
      </c>
    </row>
    <row r="209" customFormat="false" ht="15" hidden="false" customHeight="false" outlineLevel="0" collapsed="false">
      <c r="A209" s="171" t="s">
        <v>1969</v>
      </c>
      <c r="B209" s="171" t="s">
        <v>1306</v>
      </c>
      <c r="C209" s="171" t="s">
        <v>1970</v>
      </c>
      <c r="D209" s="171" t="s">
        <v>1971</v>
      </c>
      <c r="E209" s="171" t="s">
        <v>1291</v>
      </c>
      <c r="F209" s="171" t="s">
        <v>1101</v>
      </c>
      <c r="G209" s="171" t="s">
        <v>1102</v>
      </c>
    </row>
    <row r="210" customFormat="false" ht="15" hidden="false" customHeight="false" outlineLevel="0" collapsed="false">
      <c r="A210" s="171" t="s">
        <v>1972</v>
      </c>
      <c r="B210" s="171" t="s">
        <v>1288</v>
      </c>
      <c r="C210" s="171" t="s">
        <v>1973</v>
      </c>
      <c r="D210" s="171" t="s">
        <v>1974</v>
      </c>
      <c r="E210" s="171" t="s">
        <v>1291</v>
      </c>
      <c r="F210" s="171" t="s">
        <v>951</v>
      </c>
      <c r="G210" s="171" t="s">
        <v>952</v>
      </c>
    </row>
    <row r="211" customFormat="false" ht="15" hidden="false" customHeight="false" outlineLevel="0" collapsed="false">
      <c r="A211" s="171" t="s">
        <v>1975</v>
      </c>
      <c r="B211" s="171" t="s">
        <v>1288</v>
      </c>
      <c r="C211" s="171" t="s">
        <v>1976</v>
      </c>
      <c r="D211" s="171" t="s">
        <v>1977</v>
      </c>
      <c r="E211" s="171" t="s">
        <v>1291</v>
      </c>
      <c r="F211" s="171" t="s">
        <v>1978</v>
      </c>
      <c r="G211" s="171" t="s">
        <v>274</v>
      </c>
    </row>
    <row r="212" customFormat="false" ht="15" hidden="false" customHeight="false" outlineLevel="0" collapsed="false">
      <c r="A212" s="171" t="s">
        <v>1979</v>
      </c>
      <c r="B212" s="171" t="s">
        <v>1288</v>
      </c>
      <c r="C212" s="171" t="s">
        <v>1980</v>
      </c>
      <c r="D212" s="171" t="s">
        <v>1981</v>
      </c>
      <c r="E212" s="171" t="s">
        <v>1291</v>
      </c>
      <c r="F212" s="171" t="s">
        <v>951</v>
      </c>
      <c r="G212" s="171" t="s">
        <v>952</v>
      </c>
    </row>
    <row r="213" customFormat="false" ht="15" hidden="false" customHeight="false" outlineLevel="0" collapsed="false">
      <c r="A213" s="171" t="s">
        <v>91</v>
      </c>
      <c r="B213" s="171" t="s">
        <v>1288</v>
      </c>
      <c r="C213" s="171" t="s">
        <v>1982</v>
      </c>
      <c r="D213" s="171" t="s">
        <v>1983</v>
      </c>
      <c r="E213" s="171" t="s">
        <v>1291</v>
      </c>
      <c r="F213" s="171" t="s">
        <v>1208</v>
      </c>
      <c r="G213" s="171" t="s">
        <v>320</v>
      </c>
    </row>
    <row r="214" customFormat="false" ht="15" hidden="false" customHeight="false" outlineLevel="0" collapsed="false">
      <c r="A214" s="171" t="s">
        <v>1984</v>
      </c>
      <c r="B214" s="171" t="s">
        <v>1288</v>
      </c>
      <c r="C214" s="171" t="s">
        <v>1985</v>
      </c>
      <c r="D214" s="171" t="s">
        <v>1986</v>
      </c>
      <c r="E214" s="171" t="s">
        <v>1291</v>
      </c>
      <c r="F214" s="171" t="s">
        <v>1929</v>
      </c>
      <c r="G214" s="171" t="s">
        <v>437</v>
      </c>
    </row>
    <row r="215" customFormat="false" ht="15" hidden="false" customHeight="false" outlineLevel="0" collapsed="false">
      <c r="A215" s="171" t="s">
        <v>1987</v>
      </c>
      <c r="B215" s="171" t="s">
        <v>1288</v>
      </c>
      <c r="C215" s="171" t="s">
        <v>1988</v>
      </c>
      <c r="D215" s="171" t="s">
        <v>1989</v>
      </c>
      <c r="E215" s="171" t="s">
        <v>1291</v>
      </c>
      <c r="F215" s="171" t="s">
        <v>465</v>
      </c>
      <c r="G215" s="171" t="s">
        <v>437</v>
      </c>
    </row>
    <row r="216" customFormat="false" ht="15" hidden="false" customHeight="false" outlineLevel="0" collapsed="false">
      <c r="A216" s="171" t="s">
        <v>1990</v>
      </c>
      <c r="B216" s="171" t="s">
        <v>1306</v>
      </c>
      <c r="C216" s="171" t="s">
        <v>1991</v>
      </c>
      <c r="D216" s="171" t="s">
        <v>1992</v>
      </c>
      <c r="E216" s="171" t="s">
        <v>1291</v>
      </c>
      <c r="F216" s="171" t="s">
        <v>1993</v>
      </c>
      <c r="G216" s="171" t="s">
        <v>1574</v>
      </c>
    </row>
    <row r="217" customFormat="false" ht="15" hidden="false" customHeight="false" outlineLevel="0" collapsed="false">
      <c r="A217" s="171" t="s">
        <v>1994</v>
      </c>
      <c r="B217" s="171" t="s">
        <v>1288</v>
      </c>
      <c r="C217" s="171" t="s">
        <v>1995</v>
      </c>
      <c r="D217" s="171" t="s">
        <v>1996</v>
      </c>
      <c r="E217" s="171" t="s">
        <v>1291</v>
      </c>
      <c r="F217" s="171" t="s">
        <v>1215</v>
      </c>
      <c r="G217" s="171" t="s">
        <v>677</v>
      </c>
    </row>
    <row r="218" customFormat="false" ht="15" hidden="false" customHeight="false" outlineLevel="0" collapsed="false">
      <c r="A218" s="171" t="s">
        <v>1997</v>
      </c>
      <c r="B218" s="171" t="s">
        <v>1288</v>
      </c>
      <c r="C218" s="171" t="s">
        <v>1998</v>
      </c>
      <c r="D218" s="171" t="s">
        <v>1999</v>
      </c>
      <c r="E218" s="171" t="s">
        <v>1291</v>
      </c>
      <c r="F218" s="171" t="s">
        <v>1439</v>
      </c>
      <c r="G218" s="171" t="s">
        <v>1102</v>
      </c>
    </row>
    <row r="219" customFormat="false" ht="15" hidden="false" customHeight="false" outlineLevel="0" collapsed="false">
      <c r="A219" s="171" t="s">
        <v>2000</v>
      </c>
      <c r="B219" s="171" t="s">
        <v>1306</v>
      </c>
      <c r="C219" s="171" t="s">
        <v>2001</v>
      </c>
      <c r="D219" s="171" t="s">
        <v>2002</v>
      </c>
      <c r="E219" s="171" t="s">
        <v>1291</v>
      </c>
      <c r="F219" s="171" t="s">
        <v>465</v>
      </c>
      <c r="G219" s="171" t="s">
        <v>437</v>
      </c>
    </row>
    <row r="220" customFormat="false" ht="15" hidden="false" customHeight="false" outlineLevel="0" collapsed="false">
      <c r="A220" s="171" t="s">
        <v>2003</v>
      </c>
      <c r="B220" s="171" t="s">
        <v>1288</v>
      </c>
      <c r="C220" s="171" t="s">
        <v>2004</v>
      </c>
      <c r="D220" s="171" t="s">
        <v>2005</v>
      </c>
      <c r="E220" s="171" t="s">
        <v>1291</v>
      </c>
      <c r="F220" s="171" t="s">
        <v>2006</v>
      </c>
      <c r="G220" s="171" t="s">
        <v>1088</v>
      </c>
    </row>
    <row r="221" customFormat="false" ht="15" hidden="false" customHeight="false" outlineLevel="0" collapsed="false">
      <c r="A221" s="171" t="s">
        <v>2007</v>
      </c>
      <c r="B221" s="171" t="s">
        <v>1288</v>
      </c>
      <c r="C221" s="171" t="s">
        <v>2008</v>
      </c>
      <c r="D221" s="171" t="s">
        <v>2009</v>
      </c>
      <c r="E221" s="171" t="s">
        <v>1291</v>
      </c>
      <c r="F221" s="171" t="s">
        <v>1779</v>
      </c>
      <c r="G221" s="171" t="s">
        <v>281</v>
      </c>
    </row>
    <row r="222" customFormat="false" ht="15" hidden="false" customHeight="false" outlineLevel="0" collapsed="false">
      <c r="A222" s="171" t="s">
        <v>2010</v>
      </c>
      <c r="B222" s="171" t="s">
        <v>1306</v>
      </c>
      <c r="C222" s="171" t="s">
        <v>2011</v>
      </c>
      <c r="D222" s="171" t="s">
        <v>2012</v>
      </c>
      <c r="E222" s="171" t="s">
        <v>1291</v>
      </c>
      <c r="F222" s="171" t="s">
        <v>295</v>
      </c>
      <c r="G222" s="171" t="s">
        <v>295</v>
      </c>
    </row>
    <row r="223" customFormat="false" ht="15" hidden="false" customHeight="false" outlineLevel="0" collapsed="false">
      <c r="A223" s="171" t="s">
        <v>2013</v>
      </c>
      <c r="B223" s="171" t="s">
        <v>1306</v>
      </c>
      <c r="C223" s="171" t="s">
        <v>2011</v>
      </c>
      <c r="D223" s="171" t="s">
        <v>2012</v>
      </c>
      <c r="E223" s="171" t="s">
        <v>1291</v>
      </c>
      <c r="F223" s="171" t="s">
        <v>295</v>
      </c>
      <c r="G223" s="171" t="s">
        <v>295</v>
      </c>
    </row>
    <row r="224" customFormat="false" ht="15" hidden="false" customHeight="false" outlineLevel="0" collapsed="false">
      <c r="A224" s="171" t="s">
        <v>2014</v>
      </c>
      <c r="B224" s="171" t="s">
        <v>1288</v>
      </c>
      <c r="C224" s="171" t="s">
        <v>2015</v>
      </c>
      <c r="D224" s="171" t="s">
        <v>2016</v>
      </c>
      <c r="E224" s="171" t="s">
        <v>1291</v>
      </c>
      <c r="F224" s="171" t="s">
        <v>1866</v>
      </c>
      <c r="G224" s="171" t="s">
        <v>952</v>
      </c>
    </row>
    <row r="225" customFormat="false" ht="15" hidden="false" customHeight="false" outlineLevel="0" collapsed="false">
      <c r="A225" s="171" t="s">
        <v>2017</v>
      </c>
      <c r="B225" s="171" t="s">
        <v>1288</v>
      </c>
      <c r="C225" s="171" t="s">
        <v>2018</v>
      </c>
      <c r="D225" s="171" t="s">
        <v>2019</v>
      </c>
      <c r="E225" s="171" t="s">
        <v>1291</v>
      </c>
      <c r="F225" s="171" t="s">
        <v>2020</v>
      </c>
      <c r="G225" s="171" t="s">
        <v>677</v>
      </c>
    </row>
    <row r="226" customFormat="false" ht="15" hidden="false" customHeight="false" outlineLevel="0" collapsed="false">
      <c r="A226" s="171" t="s">
        <v>2021</v>
      </c>
      <c r="B226" s="171" t="s">
        <v>1288</v>
      </c>
      <c r="C226" s="171" t="s">
        <v>1921</v>
      </c>
      <c r="D226" s="171" t="s">
        <v>2022</v>
      </c>
      <c r="E226" s="171" t="s">
        <v>1291</v>
      </c>
      <c r="F226" s="171" t="s">
        <v>2023</v>
      </c>
      <c r="G226" s="171" t="s">
        <v>274</v>
      </c>
    </row>
    <row r="227" customFormat="false" ht="15" hidden="false" customHeight="false" outlineLevel="0" collapsed="false">
      <c r="A227" s="171" t="s">
        <v>2024</v>
      </c>
      <c r="B227" s="171" t="s">
        <v>1306</v>
      </c>
      <c r="C227" s="171" t="s">
        <v>2025</v>
      </c>
      <c r="D227" s="171" t="s">
        <v>2026</v>
      </c>
      <c r="E227" s="171" t="s">
        <v>1291</v>
      </c>
      <c r="F227" s="171" t="s">
        <v>2027</v>
      </c>
      <c r="G227" s="171" t="s">
        <v>1344</v>
      </c>
    </row>
    <row r="228" customFormat="false" ht="15" hidden="false" customHeight="false" outlineLevel="0" collapsed="false">
      <c r="A228" s="171" t="s">
        <v>2028</v>
      </c>
      <c r="B228" s="171" t="s">
        <v>1288</v>
      </c>
      <c r="C228" s="171" t="s">
        <v>2029</v>
      </c>
      <c r="D228" s="171" t="s">
        <v>2030</v>
      </c>
      <c r="E228" s="171" t="s">
        <v>1291</v>
      </c>
      <c r="F228" s="171" t="s">
        <v>523</v>
      </c>
      <c r="G228" s="171" t="s">
        <v>288</v>
      </c>
    </row>
    <row r="229" customFormat="false" ht="15" hidden="false" customHeight="false" outlineLevel="0" collapsed="false">
      <c r="A229" s="171" t="s">
        <v>2031</v>
      </c>
      <c r="B229" s="171" t="s">
        <v>1306</v>
      </c>
      <c r="C229" s="171" t="s">
        <v>2032</v>
      </c>
      <c r="D229" s="171" t="s">
        <v>2033</v>
      </c>
      <c r="E229" s="171" t="s">
        <v>1291</v>
      </c>
      <c r="F229" s="171" t="s">
        <v>1208</v>
      </c>
      <c r="G229" s="171" t="s">
        <v>320</v>
      </c>
    </row>
    <row r="230" customFormat="false" ht="15" hidden="false" customHeight="false" outlineLevel="0" collapsed="false">
      <c r="A230" s="171" t="s">
        <v>2034</v>
      </c>
      <c r="B230" s="171" t="s">
        <v>1288</v>
      </c>
      <c r="C230" s="171" t="s">
        <v>2035</v>
      </c>
      <c r="D230" s="171" t="s">
        <v>2036</v>
      </c>
      <c r="E230" s="171" t="s">
        <v>1291</v>
      </c>
      <c r="F230" s="171" t="s">
        <v>1326</v>
      </c>
      <c r="G230" s="171" t="s">
        <v>173</v>
      </c>
    </row>
    <row r="231" customFormat="false" ht="15" hidden="false" customHeight="false" outlineLevel="0" collapsed="false">
      <c r="A231" s="171" t="s">
        <v>2037</v>
      </c>
      <c r="B231" s="171" t="s">
        <v>1288</v>
      </c>
      <c r="C231" s="171" t="s">
        <v>2038</v>
      </c>
      <c r="D231" s="171" t="s">
        <v>2039</v>
      </c>
      <c r="E231" s="171" t="s">
        <v>1291</v>
      </c>
      <c r="F231" s="171" t="s">
        <v>2040</v>
      </c>
      <c r="G231" s="171" t="s">
        <v>260</v>
      </c>
    </row>
    <row r="232" customFormat="false" ht="15" hidden="false" customHeight="false" outlineLevel="0" collapsed="false">
      <c r="A232" s="171" t="s">
        <v>135</v>
      </c>
      <c r="B232" s="171" t="s">
        <v>1288</v>
      </c>
      <c r="C232" s="171" t="s">
        <v>2041</v>
      </c>
      <c r="D232" s="171" t="s">
        <v>2042</v>
      </c>
      <c r="E232" s="171" t="s">
        <v>1291</v>
      </c>
      <c r="F232" s="171" t="s">
        <v>1254</v>
      </c>
      <c r="G232" s="171" t="s">
        <v>454</v>
      </c>
    </row>
    <row r="233" customFormat="false" ht="15" hidden="false" customHeight="false" outlineLevel="0" collapsed="false">
      <c r="A233" s="171" t="s">
        <v>2043</v>
      </c>
      <c r="B233" s="171" t="s">
        <v>1288</v>
      </c>
      <c r="C233" s="171" t="s">
        <v>2044</v>
      </c>
      <c r="D233" s="171" t="s">
        <v>2045</v>
      </c>
      <c r="E233" s="171" t="s">
        <v>1291</v>
      </c>
      <c r="F233" s="171" t="s">
        <v>1760</v>
      </c>
      <c r="G233" s="171" t="s">
        <v>288</v>
      </c>
    </row>
    <row r="234" customFormat="false" ht="15" hidden="false" customHeight="false" outlineLevel="0" collapsed="false">
      <c r="A234" s="171" t="s">
        <v>2046</v>
      </c>
      <c r="B234" s="171" t="s">
        <v>1288</v>
      </c>
      <c r="C234" s="171" t="s">
        <v>2047</v>
      </c>
      <c r="D234" s="171" t="s">
        <v>2048</v>
      </c>
      <c r="E234" s="171" t="s">
        <v>1291</v>
      </c>
      <c r="F234" s="171" t="s">
        <v>838</v>
      </c>
      <c r="G234" s="171" t="s">
        <v>839</v>
      </c>
    </row>
    <row r="235" customFormat="false" ht="15" hidden="false" customHeight="false" outlineLevel="0" collapsed="false">
      <c r="A235" s="171" t="s">
        <v>2049</v>
      </c>
      <c r="B235" s="171" t="s">
        <v>1288</v>
      </c>
      <c r="C235" s="171" t="s">
        <v>2050</v>
      </c>
      <c r="D235" s="171" t="s">
        <v>2051</v>
      </c>
      <c r="E235" s="171" t="s">
        <v>1291</v>
      </c>
      <c r="F235" s="171" t="s">
        <v>383</v>
      </c>
      <c r="G235" s="171" t="s">
        <v>268</v>
      </c>
    </row>
    <row r="236" customFormat="false" ht="15" hidden="false" customHeight="false" outlineLevel="0" collapsed="false">
      <c r="A236" s="171" t="s">
        <v>2052</v>
      </c>
      <c r="B236" s="171" t="s">
        <v>1306</v>
      </c>
      <c r="C236" s="171" t="s">
        <v>2053</v>
      </c>
      <c r="D236" s="171" t="s">
        <v>2054</v>
      </c>
      <c r="E236" s="171" t="s">
        <v>1291</v>
      </c>
      <c r="F236" s="171" t="s">
        <v>1562</v>
      </c>
      <c r="G236" s="171" t="s">
        <v>260</v>
      </c>
    </row>
    <row r="237" customFormat="false" ht="15" hidden="false" customHeight="false" outlineLevel="0" collapsed="false">
      <c r="A237" s="171" t="s">
        <v>2055</v>
      </c>
      <c r="B237" s="171" t="s">
        <v>1288</v>
      </c>
      <c r="C237" s="171" t="s">
        <v>2056</v>
      </c>
      <c r="D237" s="171" t="s">
        <v>2057</v>
      </c>
      <c r="E237" s="171" t="s">
        <v>1291</v>
      </c>
      <c r="F237" s="171" t="s">
        <v>512</v>
      </c>
      <c r="G237" s="171" t="s">
        <v>260</v>
      </c>
    </row>
    <row r="238" customFormat="false" ht="15" hidden="false" customHeight="false" outlineLevel="0" collapsed="false">
      <c r="A238" s="171" t="s">
        <v>2058</v>
      </c>
      <c r="B238" s="171" t="s">
        <v>1306</v>
      </c>
      <c r="C238" s="171" t="s">
        <v>2059</v>
      </c>
      <c r="D238" s="171" t="s">
        <v>2060</v>
      </c>
      <c r="E238" s="171" t="s">
        <v>1291</v>
      </c>
      <c r="F238" s="171" t="s">
        <v>1384</v>
      </c>
      <c r="G238" s="171" t="s">
        <v>173</v>
      </c>
    </row>
    <row r="239" customFormat="false" ht="15" hidden="false" customHeight="false" outlineLevel="0" collapsed="false">
      <c r="A239" s="171" t="s">
        <v>2061</v>
      </c>
      <c r="B239" s="171" t="s">
        <v>1306</v>
      </c>
      <c r="C239" s="171" t="s">
        <v>2062</v>
      </c>
      <c r="D239" s="171" t="s">
        <v>2063</v>
      </c>
      <c r="E239" s="171" t="s">
        <v>1291</v>
      </c>
      <c r="F239" s="171" t="s">
        <v>1672</v>
      </c>
      <c r="G239" s="171" t="s">
        <v>677</v>
      </c>
    </row>
    <row r="240" customFormat="false" ht="15" hidden="false" customHeight="false" outlineLevel="0" collapsed="false">
      <c r="A240" s="171" t="s">
        <v>2064</v>
      </c>
      <c r="B240" s="171" t="s">
        <v>1288</v>
      </c>
      <c r="C240" s="171" t="s">
        <v>2065</v>
      </c>
      <c r="D240" s="171" t="s">
        <v>2066</v>
      </c>
      <c r="E240" s="171" t="s">
        <v>1291</v>
      </c>
      <c r="F240" s="171" t="s">
        <v>2067</v>
      </c>
      <c r="G240" s="171" t="s">
        <v>295</v>
      </c>
    </row>
    <row r="241" customFormat="false" ht="15" hidden="false" customHeight="false" outlineLevel="0" collapsed="false">
      <c r="A241" s="171" t="s">
        <v>2068</v>
      </c>
      <c r="B241" s="171" t="s">
        <v>1288</v>
      </c>
      <c r="C241" s="171" t="s">
        <v>2069</v>
      </c>
      <c r="D241" s="171" t="s">
        <v>2070</v>
      </c>
      <c r="E241" s="171" t="s">
        <v>1291</v>
      </c>
      <c r="F241" s="171" t="s">
        <v>2071</v>
      </c>
      <c r="G241" s="171" t="s">
        <v>2072</v>
      </c>
    </row>
    <row r="242" customFormat="false" ht="15" hidden="false" customHeight="false" outlineLevel="0" collapsed="false">
      <c r="A242" s="171" t="s">
        <v>2073</v>
      </c>
      <c r="B242" s="171" t="s">
        <v>1306</v>
      </c>
      <c r="C242" s="171" t="s">
        <v>2074</v>
      </c>
      <c r="D242" s="171" t="s">
        <v>2075</v>
      </c>
      <c r="E242" s="171" t="s">
        <v>1291</v>
      </c>
      <c r="F242" s="171" t="s">
        <v>2027</v>
      </c>
      <c r="G242" s="171" t="s">
        <v>1344</v>
      </c>
    </row>
    <row r="243" customFormat="false" ht="15" hidden="false" customHeight="false" outlineLevel="0" collapsed="false">
      <c r="A243" s="171" t="s">
        <v>2076</v>
      </c>
      <c r="B243" s="171" t="s">
        <v>1288</v>
      </c>
      <c r="C243" s="171" t="s">
        <v>2077</v>
      </c>
      <c r="D243" s="171" t="s">
        <v>2078</v>
      </c>
      <c r="E243" s="171" t="s">
        <v>1291</v>
      </c>
      <c r="F243" s="171" t="s">
        <v>2079</v>
      </c>
      <c r="G243" s="171" t="s">
        <v>1517</v>
      </c>
    </row>
    <row r="244" customFormat="false" ht="15" hidden="false" customHeight="false" outlineLevel="0" collapsed="false">
      <c r="A244" s="171" t="s">
        <v>2080</v>
      </c>
      <c r="B244" s="171" t="s">
        <v>1306</v>
      </c>
      <c r="C244" s="171" t="s">
        <v>2081</v>
      </c>
      <c r="D244" s="171" t="s">
        <v>2082</v>
      </c>
      <c r="E244" s="171" t="s">
        <v>1291</v>
      </c>
      <c r="F244" s="171" t="s">
        <v>1434</v>
      </c>
      <c r="G244" s="171" t="s">
        <v>1435</v>
      </c>
    </row>
    <row r="245" customFormat="false" ht="15" hidden="false" customHeight="false" outlineLevel="0" collapsed="false">
      <c r="A245" s="171" t="s">
        <v>2083</v>
      </c>
      <c r="B245" s="171" t="s">
        <v>1288</v>
      </c>
      <c r="C245" s="171" t="s">
        <v>1670</v>
      </c>
      <c r="D245" s="171" t="s">
        <v>1671</v>
      </c>
      <c r="E245" s="171" t="s">
        <v>1291</v>
      </c>
      <c r="F245" s="171" t="s">
        <v>1672</v>
      </c>
      <c r="G245" s="171" t="s">
        <v>677</v>
      </c>
    </row>
    <row r="246" customFormat="false" ht="15" hidden="false" customHeight="false" outlineLevel="0" collapsed="false">
      <c r="A246" s="171" t="s">
        <v>2084</v>
      </c>
      <c r="B246" s="171" t="s">
        <v>1306</v>
      </c>
      <c r="C246" s="171" t="s">
        <v>1855</v>
      </c>
      <c r="D246" s="171" t="s">
        <v>1856</v>
      </c>
      <c r="E246" s="171" t="s">
        <v>1291</v>
      </c>
      <c r="F246" s="171" t="s">
        <v>1768</v>
      </c>
      <c r="G246" s="171" t="s">
        <v>710</v>
      </c>
    </row>
    <row r="247" customFormat="false" ht="15" hidden="false" customHeight="false" outlineLevel="0" collapsed="false">
      <c r="A247" s="171" t="s">
        <v>2085</v>
      </c>
      <c r="B247" s="171" t="s">
        <v>1288</v>
      </c>
      <c r="C247" s="171" t="s">
        <v>2086</v>
      </c>
      <c r="D247" s="171" t="s">
        <v>2087</v>
      </c>
      <c r="E247" s="171" t="s">
        <v>1291</v>
      </c>
      <c r="F247" s="171" t="s">
        <v>2088</v>
      </c>
      <c r="G247" s="171" t="s">
        <v>312</v>
      </c>
    </row>
    <row r="248" customFormat="false" ht="15" hidden="false" customHeight="false" outlineLevel="0" collapsed="false">
      <c r="A248" s="171" t="s">
        <v>2089</v>
      </c>
      <c r="B248" s="171" t="s">
        <v>1288</v>
      </c>
      <c r="C248" s="171" t="s">
        <v>2090</v>
      </c>
      <c r="D248" s="171" t="s">
        <v>2091</v>
      </c>
      <c r="E248" s="171" t="s">
        <v>1291</v>
      </c>
      <c r="F248" s="171" t="s">
        <v>642</v>
      </c>
      <c r="G248" s="171" t="s">
        <v>642</v>
      </c>
    </row>
    <row r="249" customFormat="false" ht="15" hidden="false" customHeight="false" outlineLevel="0" collapsed="false">
      <c r="A249" s="171" t="s">
        <v>95</v>
      </c>
      <c r="B249" s="171" t="s">
        <v>1288</v>
      </c>
      <c r="C249" s="171" t="s">
        <v>2092</v>
      </c>
      <c r="D249" s="171" t="s">
        <v>1085</v>
      </c>
      <c r="E249" s="171" t="s">
        <v>1291</v>
      </c>
      <c r="F249" s="171" t="s">
        <v>1087</v>
      </c>
      <c r="G249" s="171" t="s">
        <v>1088</v>
      </c>
    </row>
    <row r="250" customFormat="false" ht="15" hidden="false" customHeight="false" outlineLevel="0" collapsed="false">
      <c r="A250" s="171" t="s">
        <v>2093</v>
      </c>
      <c r="B250" s="171" t="s">
        <v>1288</v>
      </c>
      <c r="C250" s="171" t="s">
        <v>2094</v>
      </c>
      <c r="D250" s="171" t="s">
        <v>2095</v>
      </c>
      <c r="E250" s="171" t="s">
        <v>1291</v>
      </c>
      <c r="F250" s="171" t="s">
        <v>1246</v>
      </c>
      <c r="G250" s="171" t="s">
        <v>295</v>
      </c>
    </row>
    <row r="251" customFormat="false" ht="15" hidden="false" customHeight="false" outlineLevel="0" collapsed="false">
      <c r="A251" s="171" t="s">
        <v>2096</v>
      </c>
      <c r="B251" s="171" t="s">
        <v>1288</v>
      </c>
      <c r="C251" s="171" t="s">
        <v>2097</v>
      </c>
      <c r="D251" s="171" t="s">
        <v>2098</v>
      </c>
      <c r="E251" s="171" t="s">
        <v>1291</v>
      </c>
      <c r="F251" s="171" t="s">
        <v>312</v>
      </c>
      <c r="G251" s="171" t="s">
        <v>312</v>
      </c>
    </row>
    <row r="252" customFormat="false" ht="15" hidden="false" customHeight="false" outlineLevel="0" collapsed="false">
      <c r="A252" s="171" t="s">
        <v>2099</v>
      </c>
      <c r="B252" s="171" t="s">
        <v>1306</v>
      </c>
      <c r="C252" s="171" t="s">
        <v>2100</v>
      </c>
      <c r="D252" s="171" t="s">
        <v>2101</v>
      </c>
      <c r="E252" s="171" t="s">
        <v>1291</v>
      </c>
      <c r="F252" s="171" t="s">
        <v>2102</v>
      </c>
      <c r="G252" s="171" t="s">
        <v>288</v>
      </c>
    </row>
    <row r="253" customFormat="false" ht="15" hidden="false" customHeight="false" outlineLevel="0" collapsed="false">
      <c r="A253" s="171" t="s">
        <v>2103</v>
      </c>
      <c r="B253" s="171" t="s">
        <v>1288</v>
      </c>
      <c r="C253" s="171" t="s">
        <v>2104</v>
      </c>
      <c r="D253" s="171" t="s">
        <v>2105</v>
      </c>
      <c r="E253" s="171" t="s">
        <v>1291</v>
      </c>
      <c r="F253" s="171" t="s">
        <v>2106</v>
      </c>
      <c r="G253" s="171" t="s">
        <v>312</v>
      </c>
    </row>
    <row r="254" customFormat="false" ht="15" hidden="false" customHeight="false" outlineLevel="0" collapsed="false">
      <c r="A254" s="171" t="s">
        <v>121</v>
      </c>
      <c r="B254" s="171" t="s">
        <v>1288</v>
      </c>
      <c r="C254" s="171" t="s">
        <v>2107</v>
      </c>
      <c r="D254" s="171" t="s">
        <v>1143</v>
      </c>
      <c r="E254" s="171" t="s">
        <v>1291</v>
      </c>
      <c r="F254" s="171" t="s">
        <v>547</v>
      </c>
      <c r="G254" s="171" t="s">
        <v>295</v>
      </c>
    </row>
    <row r="255" customFormat="false" ht="15" hidden="false" customHeight="false" outlineLevel="0" collapsed="false">
      <c r="A255" s="171" t="s">
        <v>2108</v>
      </c>
      <c r="B255" s="171" t="s">
        <v>1288</v>
      </c>
      <c r="C255" s="171" t="s">
        <v>1790</v>
      </c>
      <c r="D255" s="171" t="s">
        <v>1791</v>
      </c>
      <c r="E255" s="171" t="s">
        <v>1291</v>
      </c>
      <c r="F255" s="171" t="s">
        <v>1040</v>
      </c>
      <c r="G255" s="171" t="s">
        <v>710</v>
      </c>
    </row>
    <row r="256" customFormat="false" ht="15" hidden="false" customHeight="false" outlineLevel="0" collapsed="false">
      <c r="A256" s="171" t="s">
        <v>2109</v>
      </c>
      <c r="B256" s="171" t="s">
        <v>1306</v>
      </c>
      <c r="C256" s="171" t="s">
        <v>2110</v>
      </c>
      <c r="D256" s="171" t="s">
        <v>2111</v>
      </c>
      <c r="E256" s="171" t="s">
        <v>1291</v>
      </c>
      <c r="F256" s="171" t="s">
        <v>2112</v>
      </c>
      <c r="G256" s="171" t="s">
        <v>2113</v>
      </c>
    </row>
    <row r="257" customFormat="false" ht="15" hidden="false" customHeight="false" outlineLevel="0" collapsed="false">
      <c r="A257" s="171" t="s">
        <v>2114</v>
      </c>
      <c r="B257" s="171" t="s">
        <v>1288</v>
      </c>
      <c r="C257" s="171" t="s">
        <v>2115</v>
      </c>
      <c r="D257" s="171" t="s">
        <v>1129</v>
      </c>
      <c r="E257" s="171" t="s">
        <v>1291</v>
      </c>
      <c r="F257" s="171" t="s">
        <v>1131</v>
      </c>
      <c r="G257" s="171" t="s">
        <v>642</v>
      </c>
    </row>
    <row r="258" customFormat="false" ht="15" hidden="false" customHeight="false" outlineLevel="0" collapsed="false">
      <c r="A258" s="171" t="s">
        <v>2116</v>
      </c>
      <c r="B258" s="171" t="s">
        <v>1288</v>
      </c>
      <c r="C258" s="171" t="s">
        <v>2117</v>
      </c>
      <c r="D258" s="171" t="s">
        <v>2118</v>
      </c>
      <c r="E258" s="171" t="s">
        <v>1291</v>
      </c>
      <c r="F258" s="171" t="s">
        <v>1873</v>
      </c>
      <c r="G258" s="171" t="s">
        <v>1102</v>
      </c>
    </row>
    <row r="259" customFormat="false" ht="15" hidden="false" customHeight="false" outlineLevel="0" collapsed="false">
      <c r="A259" s="171" t="s">
        <v>2119</v>
      </c>
      <c r="B259" s="171" t="s">
        <v>1306</v>
      </c>
      <c r="C259" s="171" t="s">
        <v>2120</v>
      </c>
      <c r="D259" s="171" t="s">
        <v>2121</v>
      </c>
      <c r="E259" s="171" t="s">
        <v>1291</v>
      </c>
      <c r="F259" s="171" t="s">
        <v>796</v>
      </c>
      <c r="G259" s="171" t="s">
        <v>295</v>
      </c>
    </row>
    <row r="260" customFormat="false" ht="15" hidden="false" customHeight="false" outlineLevel="0" collapsed="false">
      <c r="A260" s="171" t="s">
        <v>2122</v>
      </c>
      <c r="B260" s="171" t="s">
        <v>1288</v>
      </c>
      <c r="C260" s="171" t="s">
        <v>2123</v>
      </c>
      <c r="D260" s="171" t="s">
        <v>2124</v>
      </c>
      <c r="E260" s="171" t="s">
        <v>1291</v>
      </c>
      <c r="F260" s="171" t="s">
        <v>425</v>
      </c>
      <c r="G260" s="171" t="s">
        <v>295</v>
      </c>
    </row>
    <row r="261" customFormat="false" ht="15" hidden="false" customHeight="false" outlineLevel="0" collapsed="false">
      <c r="A261" s="171" t="s">
        <v>2125</v>
      </c>
      <c r="B261" s="171" t="s">
        <v>1306</v>
      </c>
      <c r="C261" s="171" t="s">
        <v>2126</v>
      </c>
      <c r="D261" s="171" t="s">
        <v>2127</v>
      </c>
      <c r="E261" s="171" t="s">
        <v>1291</v>
      </c>
      <c r="F261" s="171" t="s">
        <v>2128</v>
      </c>
      <c r="G261" s="171" t="s">
        <v>1574</v>
      </c>
    </row>
    <row r="262" customFormat="false" ht="15" hidden="false" customHeight="false" outlineLevel="0" collapsed="false">
      <c r="A262" s="171" t="s">
        <v>2129</v>
      </c>
      <c r="B262" s="171" t="s">
        <v>1288</v>
      </c>
      <c r="C262" s="171" t="s">
        <v>2130</v>
      </c>
      <c r="D262" s="171" t="s">
        <v>2131</v>
      </c>
      <c r="E262" s="171" t="s">
        <v>1291</v>
      </c>
      <c r="F262" s="171" t="s">
        <v>295</v>
      </c>
      <c r="G262" s="171" t="s">
        <v>295</v>
      </c>
    </row>
    <row r="263" customFormat="false" ht="15" hidden="false" customHeight="false" outlineLevel="0" collapsed="false">
      <c r="A263" s="171" t="s">
        <v>2132</v>
      </c>
      <c r="B263" s="171" t="s">
        <v>1306</v>
      </c>
      <c r="C263" s="171" t="s">
        <v>1374</v>
      </c>
      <c r="D263" s="171" t="s">
        <v>1375</v>
      </c>
      <c r="E263" s="171" t="s">
        <v>1291</v>
      </c>
      <c r="F263" s="171" t="s">
        <v>946</v>
      </c>
      <c r="G263" s="171" t="s">
        <v>710</v>
      </c>
    </row>
    <row r="264" customFormat="false" ht="15" hidden="false" customHeight="false" outlineLevel="0" collapsed="false">
      <c r="A264" s="171" t="s">
        <v>2133</v>
      </c>
      <c r="B264" s="171" t="s">
        <v>1288</v>
      </c>
      <c r="C264" s="171" t="s">
        <v>2134</v>
      </c>
      <c r="D264" s="171" t="s">
        <v>2135</v>
      </c>
      <c r="E264" s="171" t="s">
        <v>1291</v>
      </c>
      <c r="F264" s="171" t="s">
        <v>1779</v>
      </c>
      <c r="G264" s="171" t="s">
        <v>281</v>
      </c>
    </row>
    <row r="265" customFormat="false" ht="15" hidden="false" customHeight="false" outlineLevel="0" collapsed="false">
      <c r="A265" s="171" t="s">
        <v>2136</v>
      </c>
      <c r="B265" s="171" t="s">
        <v>1306</v>
      </c>
      <c r="C265" s="171" t="s">
        <v>2137</v>
      </c>
      <c r="D265" s="171" t="s">
        <v>2138</v>
      </c>
      <c r="E265" s="171" t="s">
        <v>1291</v>
      </c>
      <c r="F265" s="171" t="s">
        <v>2139</v>
      </c>
      <c r="G265" s="171" t="s">
        <v>1339</v>
      </c>
    </row>
    <row r="266" customFormat="false" ht="15" hidden="false" customHeight="false" outlineLevel="0" collapsed="false">
      <c r="A266" s="171" t="s">
        <v>2140</v>
      </c>
      <c r="B266" s="171" t="s">
        <v>1288</v>
      </c>
      <c r="C266" s="171" t="s">
        <v>2141</v>
      </c>
      <c r="D266" s="171" t="s">
        <v>2142</v>
      </c>
      <c r="E266" s="171" t="s">
        <v>1291</v>
      </c>
      <c r="F266" s="171" t="s">
        <v>1334</v>
      </c>
      <c r="G266" s="171" t="s">
        <v>1102</v>
      </c>
    </row>
    <row r="267" customFormat="false" ht="15" hidden="false" customHeight="false" outlineLevel="0" collapsed="false">
      <c r="A267" s="171" t="s">
        <v>2143</v>
      </c>
      <c r="B267" s="171" t="s">
        <v>1288</v>
      </c>
      <c r="C267" s="171" t="s">
        <v>2144</v>
      </c>
      <c r="D267" s="171" t="s">
        <v>2145</v>
      </c>
      <c r="E267" s="171" t="s">
        <v>1291</v>
      </c>
      <c r="F267" s="171" t="s">
        <v>927</v>
      </c>
      <c r="G267" s="171" t="s">
        <v>288</v>
      </c>
    </row>
    <row r="268" customFormat="false" ht="15" hidden="false" customHeight="false" outlineLevel="0" collapsed="false">
      <c r="A268" s="171" t="s">
        <v>2146</v>
      </c>
      <c r="B268" s="171" t="s">
        <v>1288</v>
      </c>
      <c r="C268" s="171" t="s">
        <v>2147</v>
      </c>
      <c r="D268" s="171" t="s">
        <v>2148</v>
      </c>
      <c r="E268" s="171" t="s">
        <v>1291</v>
      </c>
      <c r="F268" s="171" t="s">
        <v>1087</v>
      </c>
      <c r="G268" s="171" t="s">
        <v>1088</v>
      </c>
    </row>
    <row r="269" customFormat="false" ht="15" hidden="false" customHeight="false" outlineLevel="0" collapsed="false">
      <c r="A269" s="171" t="s">
        <v>53</v>
      </c>
      <c r="B269" s="171" t="s">
        <v>1288</v>
      </c>
      <c r="C269" s="171" t="s">
        <v>1644</v>
      </c>
      <c r="D269" s="171" t="s">
        <v>863</v>
      </c>
      <c r="E269" s="171" t="s">
        <v>1291</v>
      </c>
      <c r="F269" s="171" t="s">
        <v>865</v>
      </c>
      <c r="G269" s="171" t="s">
        <v>240</v>
      </c>
    </row>
    <row r="270" customFormat="false" ht="15" hidden="false" customHeight="false" outlineLevel="0" collapsed="false">
      <c r="A270" s="171" t="s">
        <v>2149</v>
      </c>
      <c r="B270" s="171" t="s">
        <v>1306</v>
      </c>
      <c r="C270" s="171" t="s">
        <v>2150</v>
      </c>
      <c r="D270" s="171" t="s">
        <v>2151</v>
      </c>
      <c r="E270" s="171" t="s">
        <v>1291</v>
      </c>
      <c r="F270" s="171" t="s">
        <v>1446</v>
      </c>
      <c r="G270" s="171" t="s">
        <v>396</v>
      </c>
    </row>
    <row r="271" customFormat="false" ht="15" hidden="false" customHeight="false" outlineLevel="0" collapsed="false">
      <c r="A271" s="171" t="s">
        <v>2152</v>
      </c>
      <c r="B271" s="171" t="s">
        <v>1306</v>
      </c>
      <c r="C271" s="171" t="s">
        <v>2153</v>
      </c>
      <c r="D271" s="171" t="s">
        <v>2154</v>
      </c>
      <c r="E271" s="171" t="s">
        <v>1291</v>
      </c>
      <c r="F271" s="171" t="s">
        <v>1500</v>
      </c>
      <c r="G271" s="171" t="s">
        <v>396</v>
      </c>
    </row>
    <row r="272" customFormat="false" ht="15" hidden="false" customHeight="false" outlineLevel="0" collapsed="false">
      <c r="A272" s="171" t="s">
        <v>2155</v>
      </c>
      <c r="B272" s="171" t="s">
        <v>1288</v>
      </c>
      <c r="C272" s="171" t="s">
        <v>2156</v>
      </c>
      <c r="D272" s="171" t="s">
        <v>2157</v>
      </c>
      <c r="E272" s="171" t="s">
        <v>1291</v>
      </c>
      <c r="F272" s="171" t="s">
        <v>1873</v>
      </c>
      <c r="G272" s="171" t="s">
        <v>1102</v>
      </c>
    </row>
    <row r="273" customFormat="false" ht="15" hidden="false" customHeight="false" outlineLevel="0" collapsed="false">
      <c r="A273" s="171" t="s">
        <v>2158</v>
      </c>
      <c r="B273" s="171" t="s">
        <v>1288</v>
      </c>
      <c r="C273" s="171" t="s">
        <v>2159</v>
      </c>
      <c r="D273" s="171" t="s">
        <v>2160</v>
      </c>
      <c r="E273" s="171" t="s">
        <v>1291</v>
      </c>
      <c r="F273" s="171" t="s">
        <v>2161</v>
      </c>
      <c r="G273" s="171" t="s">
        <v>274</v>
      </c>
    </row>
    <row r="274" customFormat="false" ht="15" hidden="false" customHeight="false" outlineLevel="0" collapsed="false">
      <c r="A274" s="171" t="s">
        <v>2162</v>
      </c>
      <c r="B274" s="171" t="s">
        <v>1288</v>
      </c>
      <c r="C274" s="171" t="s">
        <v>2163</v>
      </c>
      <c r="D274" s="171" t="s">
        <v>2164</v>
      </c>
      <c r="E274" s="171" t="s">
        <v>1291</v>
      </c>
      <c r="F274" s="171" t="s">
        <v>1208</v>
      </c>
      <c r="G274" s="171" t="s">
        <v>320</v>
      </c>
    </row>
    <row r="275" customFormat="false" ht="15" hidden="false" customHeight="false" outlineLevel="0" collapsed="false">
      <c r="A275" s="171" t="s">
        <v>2165</v>
      </c>
      <c r="B275" s="171" t="s">
        <v>1288</v>
      </c>
      <c r="C275" s="171" t="s">
        <v>2166</v>
      </c>
      <c r="D275" s="171" t="s">
        <v>2167</v>
      </c>
      <c r="E275" s="171" t="s">
        <v>1291</v>
      </c>
      <c r="F275" s="171" t="s">
        <v>1238</v>
      </c>
      <c r="G275" s="171" t="s">
        <v>710</v>
      </c>
    </row>
    <row r="276" customFormat="false" ht="15" hidden="false" customHeight="false" outlineLevel="0" collapsed="false">
      <c r="A276" s="171" t="s">
        <v>31</v>
      </c>
      <c r="B276" s="171" t="s">
        <v>1288</v>
      </c>
      <c r="C276" s="171" t="s">
        <v>2168</v>
      </c>
      <c r="D276" s="171" t="s">
        <v>2169</v>
      </c>
      <c r="E276" s="171" t="s">
        <v>1291</v>
      </c>
      <c r="F276" s="171" t="s">
        <v>1035</v>
      </c>
      <c r="G276" s="171" t="s">
        <v>677</v>
      </c>
    </row>
    <row r="277" customFormat="false" ht="15" hidden="false" customHeight="false" outlineLevel="0" collapsed="false">
      <c r="A277" s="171" t="s">
        <v>2170</v>
      </c>
      <c r="B277" s="171" t="s">
        <v>1288</v>
      </c>
      <c r="C277" s="171" t="s">
        <v>2171</v>
      </c>
      <c r="D277" s="171" t="s">
        <v>2172</v>
      </c>
      <c r="E277" s="171" t="s">
        <v>1291</v>
      </c>
      <c r="F277" s="171" t="s">
        <v>383</v>
      </c>
      <c r="G277" s="171" t="s">
        <v>268</v>
      </c>
    </row>
    <row r="278" customFormat="false" ht="15" hidden="false" customHeight="false" outlineLevel="0" collapsed="false">
      <c r="A278" s="171" t="s">
        <v>2173</v>
      </c>
      <c r="B278" s="171" t="s">
        <v>1288</v>
      </c>
      <c r="C278" s="171" t="s">
        <v>2174</v>
      </c>
      <c r="D278" s="171" t="s">
        <v>2175</v>
      </c>
      <c r="E278" s="171" t="s">
        <v>1291</v>
      </c>
      <c r="F278" s="171" t="s">
        <v>2176</v>
      </c>
      <c r="G278" s="171" t="s">
        <v>1088</v>
      </c>
    </row>
    <row r="279" customFormat="false" ht="15" hidden="false" customHeight="false" outlineLevel="0" collapsed="false">
      <c r="A279" s="171" t="s">
        <v>2177</v>
      </c>
      <c r="B279" s="171" t="s">
        <v>1288</v>
      </c>
      <c r="C279" s="171" t="s">
        <v>1945</v>
      </c>
      <c r="D279" s="171" t="s">
        <v>1152</v>
      </c>
      <c r="E279" s="171" t="s">
        <v>1291</v>
      </c>
      <c r="F279" s="171" t="s">
        <v>877</v>
      </c>
      <c r="G279" s="171" t="s">
        <v>281</v>
      </c>
    </row>
    <row r="280" customFormat="false" ht="15" hidden="false" customHeight="false" outlineLevel="0" collapsed="false">
      <c r="A280" s="171" t="s">
        <v>2178</v>
      </c>
      <c r="B280" s="171" t="s">
        <v>1288</v>
      </c>
      <c r="C280" s="171" t="s">
        <v>2179</v>
      </c>
      <c r="D280" s="171" t="s">
        <v>2180</v>
      </c>
      <c r="E280" s="171" t="s">
        <v>1291</v>
      </c>
      <c r="F280" s="171" t="s">
        <v>1334</v>
      </c>
      <c r="G280" s="171" t="s">
        <v>1102</v>
      </c>
    </row>
    <row r="281" customFormat="false" ht="15" hidden="false" customHeight="false" outlineLevel="0" collapsed="false">
      <c r="A281" s="171" t="s">
        <v>2181</v>
      </c>
      <c r="B281" s="171" t="s">
        <v>1306</v>
      </c>
      <c r="C281" s="171" t="s">
        <v>2182</v>
      </c>
      <c r="D281" s="171" t="s">
        <v>2183</v>
      </c>
      <c r="E281" s="171" t="s">
        <v>1291</v>
      </c>
      <c r="F281" s="171" t="s">
        <v>2184</v>
      </c>
      <c r="G281" s="171" t="s">
        <v>952</v>
      </c>
    </row>
    <row r="282" customFormat="false" ht="15" hidden="false" customHeight="false" outlineLevel="0" collapsed="false">
      <c r="A282" s="171" t="s">
        <v>123</v>
      </c>
      <c r="B282" s="171" t="s">
        <v>1288</v>
      </c>
      <c r="C282" s="171" t="s">
        <v>2185</v>
      </c>
      <c r="D282" s="171" t="s">
        <v>1147</v>
      </c>
      <c r="E282" s="171" t="s">
        <v>1291</v>
      </c>
      <c r="F282" s="171" t="s">
        <v>1149</v>
      </c>
      <c r="G282" s="171" t="s">
        <v>1102</v>
      </c>
    </row>
    <row r="283" customFormat="false" ht="15" hidden="false" customHeight="false" outlineLevel="0" collapsed="false">
      <c r="A283" s="171" t="s">
        <v>2186</v>
      </c>
      <c r="B283" s="171" t="s">
        <v>1288</v>
      </c>
      <c r="C283" s="171" t="s">
        <v>2187</v>
      </c>
      <c r="D283" s="171" t="s">
        <v>2188</v>
      </c>
      <c r="E283" s="171" t="s">
        <v>1291</v>
      </c>
      <c r="F283" s="171" t="s">
        <v>425</v>
      </c>
      <c r="G283" s="171" t="s">
        <v>295</v>
      </c>
    </row>
    <row r="284" customFormat="false" ht="15" hidden="false" customHeight="false" outlineLevel="0" collapsed="false">
      <c r="A284" s="171" t="s">
        <v>2189</v>
      </c>
      <c r="B284" s="171" t="s">
        <v>1288</v>
      </c>
      <c r="C284" s="171" t="s">
        <v>2190</v>
      </c>
      <c r="D284" s="171" t="s">
        <v>2191</v>
      </c>
      <c r="E284" s="171" t="s">
        <v>1291</v>
      </c>
      <c r="F284" s="171" t="s">
        <v>2192</v>
      </c>
      <c r="G284" s="171" t="s">
        <v>2072</v>
      </c>
    </row>
    <row r="285" customFormat="false" ht="15" hidden="false" customHeight="false" outlineLevel="0" collapsed="false">
      <c r="A285" s="171" t="s">
        <v>2193</v>
      </c>
      <c r="B285" s="171" t="s">
        <v>1306</v>
      </c>
      <c r="C285" s="171" t="s">
        <v>2194</v>
      </c>
      <c r="D285" s="171" t="s">
        <v>2195</v>
      </c>
      <c r="E285" s="171" t="s">
        <v>1291</v>
      </c>
      <c r="F285" s="171" t="s">
        <v>2027</v>
      </c>
      <c r="G285" s="171" t="s">
        <v>1344</v>
      </c>
    </row>
    <row r="286" customFormat="false" ht="15" hidden="false" customHeight="false" outlineLevel="0" collapsed="false">
      <c r="A286" s="171" t="s">
        <v>2196</v>
      </c>
      <c r="B286" s="171" t="s">
        <v>1306</v>
      </c>
      <c r="C286" s="171" t="s">
        <v>2197</v>
      </c>
      <c r="D286" s="171" t="s">
        <v>2198</v>
      </c>
      <c r="E286" s="171" t="s">
        <v>1291</v>
      </c>
      <c r="F286" s="171" t="s">
        <v>1993</v>
      </c>
      <c r="G286" s="171" t="s">
        <v>1574</v>
      </c>
    </row>
    <row r="287" customFormat="false" ht="15" hidden="false" customHeight="false" outlineLevel="0" collapsed="false">
      <c r="A287" s="171" t="s">
        <v>2199</v>
      </c>
      <c r="B287" s="171" t="s">
        <v>1306</v>
      </c>
      <c r="C287" s="171" t="s">
        <v>2200</v>
      </c>
      <c r="D287" s="171" t="s">
        <v>2201</v>
      </c>
      <c r="E287" s="171" t="s">
        <v>1291</v>
      </c>
      <c r="F287" s="171" t="s">
        <v>2202</v>
      </c>
      <c r="G287" s="171" t="s">
        <v>2203</v>
      </c>
    </row>
    <row r="288" customFormat="false" ht="15" hidden="false" customHeight="false" outlineLevel="0" collapsed="false">
      <c r="A288" s="171" t="s">
        <v>2204</v>
      </c>
      <c r="B288" s="171" t="s">
        <v>1306</v>
      </c>
      <c r="C288" s="171" t="s">
        <v>2205</v>
      </c>
      <c r="D288" s="171" t="s">
        <v>2206</v>
      </c>
      <c r="E288" s="171" t="s">
        <v>1291</v>
      </c>
      <c r="F288" s="171" t="s">
        <v>1699</v>
      </c>
      <c r="G288" s="171" t="s">
        <v>839</v>
      </c>
    </row>
    <row r="289" customFormat="false" ht="15" hidden="false" customHeight="false" outlineLevel="0" collapsed="false">
      <c r="A289" s="171" t="s">
        <v>2207</v>
      </c>
      <c r="B289" s="171" t="s">
        <v>1288</v>
      </c>
      <c r="C289" s="171" t="s">
        <v>2208</v>
      </c>
      <c r="D289" s="171" t="s">
        <v>2209</v>
      </c>
      <c r="E289" s="171" t="s">
        <v>1291</v>
      </c>
      <c r="F289" s="171" t="s">
        <v>1298</v>
      </c>
      <c r="G289" s="171" t="s">
        <v>312</v>
      </c>
    </row>
    <row r="290" customFormat="false" ht="15" hidden="false" customHeight="false" outlineLevel="0" collapsed="false">
      <c r="A290" s="171" t="s">
        <v>2210</v>
      </c>
      <c r="B290" s="171" t="s">
        <v>1306</v>
      </c>
      <c r="C290" s="171" t="s">
        <v>2211</v>
      </c>
      <c r="D290" s="171" t="s">
        <v>2212</v>
      </c>
      <c r="E290" s="171" t="s">
        <v>1291</v>
      </c>
      <c r="F290" s="171" t="s">
        <v>2027</v>
      </c>
      <c r="G290" s="171" t="s">
        <v>1344</v>
      </c>
    </row>
    <row r="291" customFormat="false" ht="15" hidden="false" customHeight="false" outlineLevel="0" collapsed="false">
      <c r="A291" s="171" t="s">
        <v>2213</v>
      </c>
      <c r="B291" s="171" t="s">
        <v>1288</v>
      </c>
      <c r="C291" s="171" t="s">
        <v>2214</v>
      </c>
      <c r="D291" s="171" t="s">
        <v>2215</v>
      </c>
      <c r="E291" s="171" t="s">
        <v>1291</v>
      </c>
      <c r="F291" s="171" t="s">
        <v>1450</v>
      </c>
      <c r="G291" s="171" t="s">
        <v>274</v>
      </c>
    </row>
    <row r="292" customFormat="false" ht="15" hidden="false" customHeight="false" outlineLevel="0" collapsed="false">
      <c r="A292" s="171" t="s">
        <v>2216</v>
      </c>
      <c r="B292" s="171" t="s">
        <v>1288</v>
      </c>
      <c r="C292" s="171" t="s">
        <v>2217</v>
      </c>
      <c r="D292" s="171" t="s">
        <v>2218</v>
      </c>
      <c r="E292" s="171" t="s">
        <v>1291</v>
      </c>
      <c r="F292" s="171" t="s">
        <v>295</v>
      </c>
      <c r="G292" s="171" t="s">
        <v>295</v>
      </c>
    </row>
    <row r="293" customFormat="false" ht="15" hidden="false" customHeight="false" outlineLevel="0" collapsed="false">
      <c r="A293" s="171" t="s">
        <v>2219</v>
      </c>
      <c r="B293" s="171" t="s">
        <v>1288</v>
      </c>
      <c r="C293" s="171" t="s">
        <v>2220</v>
      </c>
      <c r="D293" s="171" t="s">
        <v>2221</v>
      </c>
      <c r="E293" s="171" t="s">
        <v>1291</v>
      </c>
      <c r="F293" s="171" t="s">
        <v>2222</v>
      </c>
      <c r="G293" s="171" t="s">
        <v>1088</v>
      </c>
    </row>
    <row r="294" customFormat="false" ht="15" hidden="false" customHeight="false" outlineLevel="0" collapsed="false">
      <c r="A294" s="171" t="s">
        <v>2223</v>
      </c>
      <c r="B294" s="171" t="s">
        <v>1288</v>
      </c>
      <c r="C294" s="171" t="s">
        <v>2224</v>
      </c>
      <c r="D294" s="171" t="s">
        <v>2225</v>
      </c>
      <c r="E294" s="171" t="s">
        <v>1291</v>
      </c>
      <c r="F294" s="171" t="s">
        <v>2226</v>
      </c>
      <c r="G294" s="171" t="s">
        <v>747</v>
      </c>
    </row>
    <row r="295" customFormat="false" ht="15" hidden="false" customHeight="false" outlineLevel="0" collapsed="false">
      <c r="A295" s="171" t="s">
        <v>2227</v>
      </c>
      <c r="B295" s="171" t="s">
        <v>1288</v>
      </c>
      <c r="C295" s="171" t="s">
        <v>2228</v>
      </c>
      <c r="D295" s="171" t="s">
        <v>2229</v>
      </c>
      <c r="E295" s="171" t="s">
        <v>1291</v>
      </c>
      <c r="F295" s="171" t="s">
        <v>1384</v>
      </c>
      <c r="G295" s="171" t="s">
        <v>173</v>
      </c>
    </row>
    <row r="296" customFormat="false" ht="15" hidden="false" customHeight="false" outlineLevel="0" collapsed="false">
      <c r="A296" s="171" t="s">
        <v>2230</v>
      </c>
      <c r="B296" s="171" t="s">
        <v>1306</v>
      </c>
      <c r="C296" s="171" t="s">
        <v>2231</v>
      </c>
      <c r="D296" s="171" t="s">
        <v>2232</v>
      </c>
      <c r="E296" s="171" t="s">
        <v>1291</v>
      </c>
      <c r="F296" s="171" t="s">
        <v>1277</v>
      </c>
      <c r="G296" s="171" t="s">
        <v>274</v>
      </c>
    </row>
    <row r="297" customFormat="false" ht="15" hidden="false" customHeight="false" outlineLevel="0" collapsed="false">
      <c r="A297" s="171" t="s">
        <v>2233</v>
      </c>
      <c r="B297" s="171" t="s">
        <v>1288</v>
      </c>
      <c r="C297" s="171" t="s">
        <v>2234</v>
      </c>
      <c r="D297" s="171" t="s">
        <v>2235</v>
      </c>
      <c r="E297" s="171" t="s">
        <v>1291</v>
      </c>
      <c r="F297" s="171" t="s">
        <v>2226</v>
      </c>
      <c r="G297" s="171" t="s">
        <v>747</v>
      </c>
    </row>
    <row r="298" customFormat="false" ht="15" hidden="false" customHeight="false" outlineLevel="0" collapsed="false">
      <c r="A298" s="171" t="s">
        <v>2236</v>
      </c>
      <c r="B298" s="171" t="s">
        <v>1306</v>
      </c>
      <c r="C298" s="171" t="s">
        <v>2237</v>
      </c>
      <c r="D298" s="171" t="s">
        <v>2238</v>
      </c>
      <c r="E298" s="171" t="s">
        <v>1291</v>
      </c>
      <c r="F298" s="171" t="s">
        <v>877</v>
      </c>
      <c r="G298" s="171" t="s">
        <v>281</v>
      </c>
    </row>
    <row r="299" customFormat="false" ht="15" hidden="false" customHeight="false" outlineLevel="0" collapsed="false">
      <c r="A299" s="171" t="s">
        <v>2239</v>
      </c>
      <c r="B299" s="171" t="s">
        <v>1288</v>
      </c>
      <c r="C299" s="171" t="s">
        <v>2240</v>
      </c>
      <c r="D299" s="171" t="s">
        <v>2241</v>
      </c>
      <c r="E299" s="171" t="s">
        <v>1291</v>
      </c>
      <c r="F299" s="171" t="s">
        <v>2242</v>
      </c>
      <c r="G299" s="171" t="s">
        <v>173</v>
      </c>
    </row>
    <row r="300" customFormat="false" ht="15" hidden="false" customHeight="false" outlineLevel="0" collapsed="false">
      <c r="A300" s="171" t="s">
        <v>2243</v>
      </c>
      <c r="B300" s="171" t="s">
        <v>1288</v>
      </c>
      <c r="C300" s="171" t="s">
        <v>2244</v>
      </c>
      <c r="D300" s="171" t="s">
        <v>2245</v>
      </c>
      <c r="E300" s="171" t="s">
        <v>1291</v>
      </c>
      <c r="F300" s="171" t="s">
        <v>2246</v>
      </c>
      <c r="G300" s="171" t="s">
        <v>295</v>
      </c>
    </row>
    <row r="301" customFormat="false" ht="15" hidden="false" customHeight="false" outlineLevel="0" collapsed="false">
      <c r="A301" s="171" t="s">
        <v>2247</v>
      </c>
      <c r="B301" s="171" t="s">
        <v>1306</v>
      </c>
      <c r="C301" s="171" t="s">
        <v>2248</v>
      </c>
      <c r="D301" s="171" t="s">
        <v>2249</v>
      </c>
      <c r="E301" s="171" t="s">
        <v>1291</v>
      </c>
      <c r="F301" s="171" t="s">
        <v>1131</v>
      </c>
      <c r="G301" s="171" t="s">
        <v>642</v>
      </c>
    </row>
    <row r="302" customFormat="false" ht="15" hidden="false" customHeight="false" outlineLevel="0" collapsed="false">
      <c r="A302" s="171" t="s">
        <v>2250</v>
      </c>
      <c r="B302" s="171" t="s">
        <v>1288</v>
      </c>
      <c r="C302" s="171" t="s">
        <v>2251</v>
      </c>
      <c r="D302" s="171" t="s">
        <v>2252</v>
      </c>
      <c r="E302" s="171" t="s">
        <v>1291</v>
      </c>
      <c r="F302" s="171" t="s">
        <v>2253</v>
      </c>
      <c r="G302" s="171" t="s">
        <v>642</v>
      </c>
    </row>
    <row r="303" customFormat="false" ht="15" hidden="false" customHeight="false" outlineLevel="0" collapsed="false">
      <c r="A303" s="171" t="s">
        <v>2254</v>
      </c>
      <c r="B303" s="171" t="s">
        <v>1288</v>
      </c>
      <c r="C303" s="171" t="s">
        <v>2255</v>
      </c>
      <c r="D303" s="171" t="s">
        <v>2256</v>
      </c>
      <c r="E303" s="171" t="s">
        <v>1291</v>
      </c>
      <c r="F303" s="171" t="s">
        <v>2257</v>
      </c>
      <c r="G303" s="171" t="s">
        <v>642</v>
      </c>
    </row>
    <row r="304" customFormat="false" ht="15" hidden="false" customHeight="false" outlineLevel="0" collapsed="false">
      <c r="A304" s="171" t="s">
        <v>111</v>
      </c>
      <c r="B304" s="171" t="s">
        <v>1288</v>
      </c>
      <c r="C304" s="171" t="s">
        <v>2258</v>
      </c>
      <c r="D304" s="171" t="s">
        <v>2259</v>
      </c>
      <c r="E304" s="171" t="s">
        <v>1291</v>
      </c>
      <c r="F304" s="171" t="s">
        <v>1101</v>
      </c>
      <c r="G304" s="171" t="s">
        <v>1102</v>
      </c>
    </row>
    <row r="305" customFormat="false" ht="15" hidden="false" customHeight="false" outlineLevel="0" collapsed="false">
      <c r="A305" s="171" t="s">
        <v>2260</v>
      </c>
      <c r="B305" s="171" t="s">
        <v>1288</v>
      </c>
      <c r="C305" s="171" t="s">
        <v>2150</v>
      </c>
      <c r="D305" s="171" t="s">
        <v>2261</v>
      </c>
      <c r="E305" s="171" t="s">
        <v>1291</v>
      </c>
      <c r="F305" s="171" t="s">
        <v>2262</v>
      </c>
      <c r="G305" s="171" t="s">
        <v>240</v>
      </c>
    </row>
    <row r="306" customFormat="false" ht="15" hidden="false" customHeight="false" outlineLevel="0" collapsed="false">
      <c r="A306" s="171" t="s">
        <v>2263</v>
      </c>
      <c r="B306" s="171" t="s">
        <v>1306</v>
      </c>
      <c r="C306" s="171" t="s">
        <v>2264</v>
      </c>
      <c r="D306" s="171" t="s">
        <v>2265</v>
      </c>
      <c r="E306" s="171" t="s">
        <v>1291</v>
      </c>
      <c r="F306" s="171" t="s">
        <v>2266</v>
      </c>
      <c r="G306" s="171" t="s">
        <v>1737</v>
      </c>
    </row>
    <row r="307" customFormat="false" ht="15" hidden="false" customHeight="false" outlineLevel="0" collapsed="false">
      <c r="A307" s="171" t="s">
        <v>2267</v>
      </c>
      <c r="B307" s="171" t="s">
        <v>1288</v>
      </c>
      <c r="C307" s="171" t="s">
        <v>1392</v>
      </c>
      <c r="D307" s="171" t="s">
        <v>1393</v>
      </c>
      <c r="E307" s="171" t="s">
        <v>1291</v>
      </c>
      <c r="F307" s="171" t="s">
        <v>425</v>
      </c>
      <c r="G307" s="171" t="s">
        <v>295</v>
      </c>
    </row>
    <row r="308" customFormat="false" ht="15" hidden="false" customHeight="false" outlineLevel="0" collapsed="false">
      <c r="A308" s="171" t="s">
        <v>2268</v>
      </c>
      <c r="B308" s="171" t="s">
        <v>1288</v>
      </c>
      <c r="C308" s="171" t="s">
        <v>2269</v>
      </c>
      <c r="D308" s="171" t="s">
        <v>2270</v>
      </c>
      <c r="E308" s="171" t="s">
        <v>1291</v>
      </c>
      <c r="F308" s="171" t="s">
        <v>2271</v>
      </c>
      <c r="G308" s="171" t="s">
        <v>437</v>
      </c>
    </row>
    <row r="309" customFormat="false" ht="15" hidden="false" customHeight="false" outlineLevel="0" collapsed="false">
      <c r="A309" s="171" t="s">
        <v>2272</v>
      </c>
      <c r="B309" s="171" t="s">
        <v>1306</v>
      </c>
      <c r="C309" s="171" t="s">
        <v>2273</v>
      </c>
      <c r="D309" s="171" t="s">
        <v>2274</v>
      </c>
      <c r="E309" s="171" t="s">
        <v>1291</v>
      </c>
      <c r="F309" s="171" t="s">
        <v>2275</v>
      </c>
      <c r="G309" s="171" t="s">
        <v>2113</v>
      </c>
    </row>
    <row r="310" customFormat="false" ht="15" hidden="false" customHeight="false" outlineLevel="0" collapsed="false">
      <c r="A310" s="171" t="s">
        <v>2276</v>
      </c>
      <c r="B310" s="171" t="s">
        <v>1288</v>
      </c>
      <c r="C310" s="171" t="s">
        <v>2277</v>
      </c>
      <c r="D310" s="171" t="s">
        <v>2278</v>
      </c>
      <c r="E310" s="171" t="s">
        <v>1291</v>
      </c>
      <c r="F310" s="171" t="s">
        <v>425</v>
      </c>
      <c r="G310" s="171" t="s">
        <v>295</v>
      </c>
    </row>
    <row r="311" customFormat="false" ht="15" hidden="false" customHeight="false" outlineLevel="0" collapsed="false">
      <c r="A311" s="171" t="s">
        <v>2279</v>
      </c>
      <c r="B311" s="171" t="s">
        <v>1288</v>
      </c>
      <c r="C311" s="171" t="s">
        <v>2280</v>
      </c>
      <c r="D311" s="171" t="s">
        <v>2281</v>
      </c>
      <c r="E311" s="171" t="s">
        <v>1291</v>
      </c>
      <c r="F311" s="171" t="s">
        <v>1238</v>
      </c>
      <c r="G311" s="171" t="s">
        <v>710</v>
      </c>
    </row>
    <row r="312" customFormat="false" ht="15" hidden="false" customHeight="false" outlineLevel="0" collapsed="false">
      <c r="A312" s="171" t="s">
        <v>2282</v>
      </c>
      <c r="B312" s="171" t="s">
        <v>1306</v>
      </c>
      <c r="C312" s="171" t="s">
        <v>2283</v>
      </c>
      <c r="D312" s="171" t="s">
        <v>2284</v>
      </c>
      <c r="E312" s="171" t="s">
        <v>1291</v>
      </c>
      <c r="F312" s="171" t="s">
        <v>951</v>
      </c>
      <c r="G312" s="171" t="s">
        <v>952</v>
      </c>
    </row>
    <row r="313" customFormat="false" ht="15" hidden="false" customHeight="false" outlineLevel="0" collapsed="false">
      <c r="A313" s="171" t="s">
        <v>2285</v>
      </c>
      <c r="B313" s="171" t="s">
        <v>1306</v>
      </c>
      <c r="C313" s="171" t="s">
        <v>2286</v>
      </c>
      <c r="D313" s="171" t="s">
        <v>2287</v>
      </c>
      <c r="E313" s="171" t="s">
        <v>1291</v>
      </c>
      <c r="F313" s="171" t="s">
        <v>2288</v>
      </c>
      <c r="G313" s="171" t="s">
        <v>1339</v>
      </c>
    </row>
    <row r="314" customFormat="false" ht="15" hidden="false" customHeight="false" outlineLevel="0" collapsed="false">
      <c r="A314" s="171" t="s">
        <v>2289</v>
      </c>
      <c r="B314" s="171" t="s">
        <v>1306</v>
      </c>
      <c r="C314" s="171" t="s">
        <v>2290</v>
      </c>
      <c r="D314" s="171" t="s">
        <v>2291</v>
      </c>
      <c r="E314" s="171" t="s">
        <v>1291</v>
      </c>
      <c r="F314" s="171" t="s">
        <v>2292</v>
      </c>
      <c r="G314" s="171" t="s">
        <v>2293</v>
      </c>
    </row>
    <row r="315" customFormat="false" ht="15" hidden="false" customHeight="false" outlineLevel="0" collapsed="false">
      <c r="A315" s="171" t="s">
        <v>2294</v>
      </c>
      <c r="B315" s="171" t="s">
        <v>1288</v>
      </c>
      <c r="C315" s="171" t="s">
        <v>1804</v>
      </c>
      <c r="D315" s="171" t="s">
        <v>1805</v>
      </c>
      <c r="E315" s="171" t="s">
        <v>1291</v>
      </c>
      <c r="F315" s="171" t="s">
        <v>1806</v>
      </c>
      <c r="G315" s="171" t="s">
        <v>710</v>
      </c>
    </row>
    <row r="316" customFormat="false" ht="15" hidden="false" customHeight="false" outlineLevel="0" collapsed="false">
      <c r="A316" s="171" t="s">
        <v>2295</v>
      </c>
      <c r="B316" s="171" t="s">
        <v>1306</v>
      </c>
      <c r="C316" s="171" t="s">
        <v>2296</v>
      </c>
      <c r="D316" s="171" t="s">
        <v>2297</v>
      </c>
      <c r="E316" s="171" t="s">
        <v>1291</v>
      </c>
      <c r="F316" s="171" t="s">
        <v>2298</v>
      </c>
      <c r="G316" s="171" t="s">
        <v>396</v>
      </c>
    </row>
    <row r="317" customFormat="false" ht="15" hidden="false" customHeight="false" outlineLevel="0" collapsed="false">
      <c r="A317" s="171" t="s">
        <v>2299</v>
      </c>
      <c r="B317" s="171" t="s">
        <v>1288</v>
      </c>
      <c r="C317" s="171" t="s">
        <v>2300</v>
      </c>
      <c r="D317" s="171" t="s">
        <v>2301</v>
      </c>
      <c r="E317" s="171" t="s">
        <v>1291</v>
      </c>
      <c r="F317" s="171" t="s">
        <v>2302</v>
      </c>
      <c r="G317" s="171" t="s">
        <v>288</v>
      </c>
    </row>
    <row r="318" customFormat="false" ht="15" hidden="false" customHeight="false" outlineLevel="0" collapsed="false">
      <c r="A318" s="171" t="s">
        <v>2303</v>
      </c>
      <c r="B318" s="171" t="s">
        <v>1288</v>
      </c>
      <c r="C318" s="171" t="s">
        <v>2304</v>
      </c>
      <c r="D318" s="171" t="s">
        <v>2305</v>
      </c>
      <c r="E318" s="171" t="s">
        <v>1291</v>
      </c>
      <c r="F318" s="171" t="s">
        <v>2023</v>
      </c>
      <c r="G318" s="171" t="s">
        <v>274</v>
      </c>
    </row>
    <row r="319" customFormat="false" ht="15" hidden="false" customHeight="false" outlineLevel="0" collapsed="false">
      <c r="A319" s="171" t="s">
        <v>2306</v>
      </c>
      <c r="B319" s="171" t="s">
        <v>1306</v>
      </c>
      <c r="C319" s="171" t="s">
        <v>2307</v>
      </c>
      <c r="D319" s="171" t="s">
        <v>2308</v>
      </c>
      <c r="E319" s="171" t="s">
        <v>1291</v>
      </c>
      <c r="F319" s="171" t="s">
        <v>2309</v>
      </c>
      <c r="G319" s="171" t="s">
        <v>454</v>
      </c>
    </row>
    <row r="320" customFormat="false" ht="15" hidden="false" customHeight="false" outlineLevel="0" collapsed="false">
      <c r="A320" s="171" t="s">
        <v>2310</v>
      </c>
      <c r="B320" s="171" t="s">
        <v>1288</v>
      </c>
      <c r="C320" s="171" t="s">
        <v>2311</v>
      </c>
      <c r="D320" s="171" t="s">
        <v>2312</v>
      </c>
      <c r="E320" s="171" t="s">
        <v>1291</v>
      </c>
      <c r="F320" s="171" t="s">
        <v>1929</v>
      </c>
      <c r="G320" s="171" t="s">
        <v>437</v>
      </c>
    </row>
    <row r="321" customFormat="false" ht="15" hidden="false" customHeight="false" outlineLevel="0" collapsed="false">
      <c r="A321" s="171" t="s">
        <v>2313</v>
      </c>
      <c r="B321" s="171" t="s">
        <v>1288</v>
      </c>
      <c r="C321" s="171" t="s">
        <v>2314</v>
      </c>
      <c r="D321" s="171" t="s">
        <v>998</v>
      </c>
      <c r="E321" s="171" t="s">
        <v>1291</v>
      </c>
      <c r="F321" s="171" t="s">
        <v>1000</v>
      </c>
      <c r="G321" s="171" t="s">
        <v>320</v>
      </c>
    </row>
    <row r="322" customFormat="false" ht="15" hidden="false" customHeight="false" outlineLevel="0" collapsed="false">
      <c r="A322" s="171" t="s">
        <v>2315</v>
      </c>
      <c r="B322" s="171" t="s">
        <v>1288</v>
      </c>
      <c r="C322" s="171" t="s">
        <v>2316</v>
      </c>
      <c r="D322" s="171" t="s">
        <v>2317</v>
      </c>
      <c r="E322" s="171" t="s">
        <v>1291</v>
      </c>
      <c r="F322" s="171" t="s">
        <v>2318</v>
      </c>
      <c r="G322" s="171" t="s">
        <v>747</v>
      </c>
    </row>
    <row r="323" customFormat="false" ht="15" hidden="false" customHeight="false" outlineLevel="0" collapsed="false">
      <c r="A323" s="171" t="s">
        <v>2319</v>
      </c>
      <c r="B323" s="171" t="s">
        <v>1288</v>
      </c>
      <c r="C323" s="171" t="s">
        <v>2320</v>
      </c>
      <c r="D323" s="171" t="s">
        <v>2321</v>
      </c>
      <c r="E323" s="171" t="s">
        <v>1291</v>
      </c>
      <c r="F323" s="171" t="s">
        <v>2322</v>
      </c>
      <c r="G323" s="171" t="s">
        <v>642</v>
      </c>
    </row>
    <row r="324" customFormat="false" ht="15" hidden="false" customHeight="false" outlineLevel="0" collapsed="false">
      <c r="A324" s="171" t="s">
        <v>2323</v>
      </c>
      <c r="B324" s="171" t="s">
        <v>1288</v>
      </c>
      <c r="C324" s="171" t="s">
        <v>2324</v>
      </c>
      <c r="D324" s="171" t="s">
        <v>2325</v>
      </c>
      <c r="E324" s="171" t="s">
        <v>1291</v>
      </c>
      <c r="F324" s="171" t="s">
        <v>320</v>
      </c>
      <c r="G324" s="171" t="s">
        <v>320</v>
      </c>
    </row>
    <row r="325" customFormat="false" ht="15" hidden="false" customHeight="false" outlineLevel="0" collapsed="false">
      <c r="A325" s="171" t="s">
        <v>2326</v>
      </c>
      <c r="B325" s="171" t="s">
        <v>1306</v>
      </c>
      <c r="C325" s="171" t="s">
        <v>2327</v>
      </c>
      <c r="D325" s="171" t="s">
        <v>2328</v>
      </c>
      <c r="E325" s="171" t="s">
        <v>1291</v>
      </c>
      <c r="F325" s="171" t="s">
        <v>2329</v>
      </c>
      <c r="G325" s="171" t="s">
        <v>2330</v>
      </c>
    </row>
    <row r="326" customFormat="false" ht="15" hidden="false" customHeight="false" outlineLevel="0" collapsed="false">
      <c r="A326" s="171" t="s">
        <v>2331</v>
      </c>
      <c r="B326" s="171" t="s">
        <v>1288</v>
      </c>
      <c r="C326" s="171" t="s">
        <v>2332</v>
      </c>
      <c r="D326" s="171" t="s">
        <v>2333</v>
      </c>
      <c r="E326" s="171" t="s">
        <v>1291</v>
      </c>
      <c r="F326" s="171" t="s">
        <v>1115</v>
      </c>
      <c r="G326" s="171" t="s">
        <v>710</v>
      </c>
    </row>
    <row r="327" customFormat="false" ht="15" hidden="false" customHeight="false" outlineLevel="0" collapsed="false">
      <c r="A327" s="171" t="s">
        <v>2334</v>
      </c>
      <c r="B327" s="171" t="s">
        <v>1288</v>
      </c>
      <c r="C327" s="171" t="s">
        <v>2335</v>
      </c>
      <c r="D327" s="171" t="s">
        <v>2336</v>
      </c>
      <c r="E327" s="171" t="s">
        <v>1291</v>
      </c>
      <c r="F327" s="171" t="s">
        <v>2337</v>
      </c>
      <c r="G327" s="171" t="s">
        <v>312</v>
      </c>
    </row>
    <row r="328" customFormat="false" ht="15" hidden="false" customHeight="false" outlineLevel="0" collapsed="false">
      <c r="A328" s="171" t="s">
        <v>2338</v>
      </c>
      <c r="B328" s="171" t="s">
        <v>1288</v>
      </c>
      <c r="C328" s="171" t="s">
        <v>2339</v>
      </c>
      <c r="D328" s="171" t="s">
        <v>2340</v>
      </c>
      <c r="E328" s="171" t="s">
        <v>1291</v>
      </c>
      <c r="F328" s="171" t="s">
        <v>946</v>
      </c>
      <c r="G328" s="171" t="s">
        <v>710</v>
      </c>
    </row>
    <row r="329" customFormat="false" ht="15" hidden="false" customHeight="false" outlineLevel="0" collapsed="false">
      <c r="A329" s="171" t="s">
        <v>2341</v>
      </c>
      <c r="B329" s="171" t="s">
        <v>1306</v>
      </c>
      <c r="C329" s="171" t="s">
        <v>2342</v>
      </c>
      <c r="D329" s="171" t="s">
        <v>2343</v>
      </c>
      <c r="E329" s="171" t="s">
        <v>1291</v>
      </c>
      <c r="F329" s="171" t="s">
        <v>2344</v>
      </c>
      <c r="G329" s="171" t="s">
        <v>396</v>
      </c>
    </row>
    <row r="330" customFormat="false" ht="15" hidden="false" customHeight="false" outlineLevel="0" collapsed="false">
      <c r="A330" s="171" t="s">
        <v>81</v>
      </c>
      <c r="B330" s="171" t="s">
        <v>1288</v>
      </c>
      <c r="C330" s="171" t="s">
        <v>2345</v>
      </c>
      <c r="D330" s="171" t="s">
        <v>1038</v>
      </c>
      <c r="E330" s="171" t="s">
        <v>1291</v>
      </c>
      <c r="F330" s="171" t="s">
        <v>1040</v>
      </c>
      <c r="G330" s="171" t="s">
        <v>710</v>
      </c>
    </row>
    <row r="331" customFormat="false" ht="15" hidden="false" customHeight="false" outlineLevel="0" collapsed="false">
      <c r="A331" s="171" t="s">
        <v>83</v>
      </c>
      <c r="B331" s="171" t="s">
        <v>1288</v>
      </c>
      <c r="C331" s="171" t="s">
        <v>2346</v>
      </c>
      <c r="D331" s="171" t="s">
        <v>1043</v>
      </c>
      <c r="E331" s="171" t="s">
        <v>1291</v>
      </c>
      <c r="F331" s="171" t="s">
        <v>547</v>
      </c>
      <c r="G331" s="171" t="s">
        <v>295</v>
      </c>
    </row>
    <row r="332" customFormat="false" ht="15" hidden="false" customHeight="false" outlineLevel="0" collapsed="false">
      <c r="A332" s="171" t="s">
        <v>2347</v>
      </c>
      <c r="B332" s="171" t="s">
        <v>1288</v>
      </c>
      <c r="C332" s="171" t="s">
        <v>2348</v>
      </c>
      <c r="D332" s="171" t="s">
        <v>2349</v>
      </c>
      <c r="E332" s="171" t="s">
        <v>1291</v>
      </c>
      <c r="F332" s="171" t="s">
        <v>447</v>
      </c>
      <c r="G332" s="171" t="s">
        <v>677</v>
      </c>
    </row>
    <row r="333" customFormat="false" ht="15" hidden="false" customHeight="false" outlineLevel="0" collapsed="false">
      <c r="A333" s="171" t="s">
        <v>2350</v>
      </c>
      <c r="B333" s="171" t="s">
        <v>1288</v>
      </c>
      <c r="C333" s="171" t="s">
        <v>2351</v>
      </c>
      <c r="D333" s="171" t="s">
        <v>2352</v>
      </c>
      <c r="E333" s="171" t="s">
        <v>1291</v>
      </c>
      <c r="F333" s="171" t="s">
        <v>2353</v>
      </c>
      <c r="G333" s="171" t="s">
        <v>2072</v>
      </c>
    </row>
    <row r="334" customFormat="false" ht="15" hidden="false" customHeight="false" outlineLevel="0" collapsed="false">
      <c r="A334" s="171" t="s">
        <v>2354</v>
      </c>
      <c r="B334" s="171" t="s">
        <v>1288</v>
      </c>
      <c r="C334" s="171" t="s">
        <v>2355</v>
      </c>
      <c r="D334" s="171" t="s">
        <v>2356</v>
      </c>
      <c r="E334" s="171" t="s">
        <v>1291</v>
      </c>
      <c r="F334" s="171" t="s">
        <v>311</v>
      </c>
      <c r="G334" s="171" t="s">
        <v>312</v>
      </c>
    </row>
    <row r="335" customFormat="false" ht="15" hidden="false" customHeight="false" outlineLevel="0" collapsed="false">
      <c r="A335" s="171" t="s">
        <v>2357</v>
      </c>
      <c r="B335" s="171" t="s">
        <v>1288</v>
      </c>
      <c r="C335" s="171" t="s">
        <v>2358</v>
      </c>
      <c r="D335" s="171" t="s">
        <v>2359</v>
      </c>
      <c r="E335" s="171" t="s">
        <v>1291</v>
      </c>
      <c r="F335" s="171" t="s">
        <v>2360</v>
      </c>
      <c r="G335" s="171" t="s">
        <v>642</v>
      </c>
    </row>
    <row r="336" customFormat="false" ht="15" hidden="false" customHeight="false" outlineLevel="0" collapsed="false">
      <c r="A336" s="171" t="s">
        <v>2361</v>
      </c>
      <c r="B336" s="171" t="s">
        <v>1288</v>
      </c>
      <c r="C336" s="171" t="s">
        <v>2362</v>
      </c>
      <c r="D336" s="171" t="s">
        <v>2363</v>
      </c>
      <c r="E336" s="171" t="s">
        <v>1291</v>
      </c>
      <c r="F336" s="171" t="s">
        <v>2271</v>
      </c>
      <c r="G336" s="171" t="s">
        <v>437</v>
      </c>
    </row>
    <row r="337" customFormat="false" ht="15" hidden="false" customHeight="false" outlineLevel="0" collapsed="false">
      <c r="A337" s="171" t="s">
        <v>2364</v>
      </c>
      <c r="B337" s="171" t="s">
        <v>1288</v>
      </c>
      <c r="C337" s="171" t="s">
        <v>2365</v>
      </c>
      <c r="D337" s="171" t="s">
        <v>2366</v>
      </c>
      <c r="E337" s="171" t="s">
        <v>1291</v>
      </c>
      <c r="F337" s="171" t="s">
        <v>259</v>
      </c>
      <c r="G337" s="171" t="s">
        <v>260</v>
      </c>
    </row>
    <row r="338" customFormat="false" ht="15" hidden="false" customHeight="false" outlineLevel="0" collapsed="false">
      <c r="A338" s="171" t="s">
        <v>2367</v>
      </c>
      <c r="B338" s="171" t="s">
        <v>1288</v>
      </c>
      <c r="C338" s="171" t="s">
        <v>2368</v>
      </c>
      <c r="D338" s="171" t="s">
        <v>2369</v>
      </c>
      <c r="E338" s="171" t="s">
        <v>1291</v>
      </c>
      <c r="F338" s="171" t="s">
        <v>453</v>
      </c>
      <c r="G338" s="171" t="s">
        <v>454</v>
      </c>
    </row>
    <row r="339" customFormat="false" ht="15" hidden="false" customHeight="false" outlineLevel="0" collapsed="false">
      <c r="A339" s="171" t="s">
        <v>2370</v>
      </c>
      <c r="B339" s="171" t="s">
        <v>1288</v>
      </c>
      <c r="C339" s="171" t="s">
        <v>2371</v>
      </c>
      <c r="D339" s="171" t="s">
        <v>2372</v>
      </c>
      <c r="E339" s="171" t="s">
        <v>1291</v>
      </c>
      <c r="F339" s="171" t="s">
        <v>1686</v>
      </c>
      <c r="G339" s="171" t="s">
        <v>288</v>
      </c>
    </row>
    <row r="340" customFormat="false" ht="15" hidden="false" customHeight="false" outlineLevel="0" collapsed="false">
      <c r="A340" s="171" t="s">
        <v>2373</v>
      </c>
      <c r="B340" s="171" t="s">
        <v>1306</v>
      </c>
      <c r="C340" s="171" t="s">
        <v>2374</v>
      </c>
      <c r="D340" s="171" t="s">
        <v>2375</v>
      </c>
      <c r="E340" s="171" t="s">
        <v>1291</v>
      </c>
      <c r="F340" s="171" t="s">
        <v>2376</v>
      </c>
      <c r="G340" s="171" t="s">
        <v>2203</v>
      </c>
    </row>
    <row r="341" customFormat="false" ht="15" hidden="false" customHeight="false" outlineLevel="0" collapsed="false">
      <c r="A341" s="171" t="s">
        <v>65</v>
      </c>
      <c r="B341" s="171" t="s">
        <v>1288</v>
      </c>
      <c r="C341" s="171" t="s">
        <v>2377</v>
      </c>
      <c r="D341" s="171" t="s">
        <v>2378</v>
      </c>
      <c r="E341" s="171" t="s">
        <v>1291</v>
      </c>
      <c r="F341" s="171" t="s">
        <v>1197</v>
      </c>
      <c r="G341" s="171" t="s">
        <v>1088</v>
      </c>
    </row>
    <row r="342" customFormat="false" ht="15" hidden="false" customHeight="false" outlineLevel="0" collapsed="false">
      <c r="A342" s="171" t="s">
        <v>2379</v>
      </c>
      <c r="B342" s="171" t="s">
        <v>1306</v>
      </c>
      <c r="C342" s="171" t="s">
        <v>2380</v>
      </c>
      <c r="D342" s="171" t="s">
        <v>2381</v>
      </c>
      <c r="E342" s="171" t="s">
        <v>1291</v>
      </c>
      <c r="F342" s="171" t="s">
        <v>2382</v>
      </c>
      <c r="G342" s="171" t="s">
        <v>1617</v>
      </c>
    </row>
    <row r="343" customFormat="false" ht="15" hidden="false" customHeight="false" outlineLevel="0" collapsed="false">
      <c r="A343" s="171" t="s">
        <v>2383</v>
      </c>
      <c r="B343" s="171" t="s">
        <v>1288</v>
      </c>
      <c r="C343" s="171" t="s">
        <v>2384</v>
      </c>
      <c r="D343" s="171" t="s">
        <v>2385</v>
      </c>
      <c r="E343" s="171" t="s">
        <v>1291</v>
      </c>
      <c r="F343" s="171" t="s">
        <v>2337</v>
      </c>
      <c r="G343" s="171" t="s">
        <v>312</v>
      </c>
    </row>
    <row r="344" customFormat="false" ht="15" hidden="false" customHeight="false" outlineLevel="0" collapsed="false">
      <c r="A344" s="171" t="s">
        <v>2386</v>
      </c>
      <c r="B344" s="171" t="s">
        <v>1288</v>
      </c>
      <c r="C344" s="171" t="s">
        <v>2387</v>
      </c>
      <c r="D344" s="171" t="s">
        <v>2388</v>
      </c>
      <c r="E344" s="171" t="s">
        <v>1291</v>
      </c>
      <c r="F344" s="171" t="s">
        <v>1949</v>
      </c>
      <c r="G344" s="171" t="s">
        <v>240</v>
      </c>
    </row>
    <row r="345" customFormat="false" ht="15" hidden="false" customHeight="false" outlineLevel="0" collapsed="false">
      <c r="A345" s="171" t="s">
        <v>2389</v>
      </c>
      <c r="B345" s="171" t="s">
        <v>1288</v>
      </c>
      <c r="C345" s="171" t="s">
        <v>2390</v>
      </c>
      <c r="D345" s="171" t="s">
        <v>2391</v>
      </c>
      <c r="E345" s="171" t="s">
        <v>1291</v>
      </c>
      <c r="F345" s="171" t="s">
        <v>1847</v>
      </c>
      <c r="G345" s="171" t="s">
        <v>747</v>
      </c>
    </row>
    <row r="346" customFormat="false" ht="15" hidden="false" customHeight="false" outlineLevel="0" collapsed="false">
      <c r="A346" s="171" t="s">
        <v>2392</v>
      </c>
      <c r="B346" s="171" t="s">
        <v>1288</v>
      </c>
      <c r="C346" s="171" t="s">
        <v>2393</v>
      </c>
      <c r="D346" s="171" t="s">
        <v>2394</v>
      </c>
      <c r="E346" s="171" t="s">
        <v>1291</v>
      </c>
      <c r="F346" s="171" t="s">
        <v>1699</v>
      </c>
      <c r="G346" s="171" t="s">
        <v>839</v>
      </c>
    </row>
    <row r="347" customFormat="false" ht="15" hidden="false" customHeight="false" outlineLevel="0" collapsed="false">
      <c r="A347" s="171" t="s">
        <v>2395</v>
      </c>
      <c r="B347" s="171" t="s">
        <v>1288</v>
      </c>
      <c r="C347" s="171" t="s">
        <v>2396</v>
      </c>
      <c r="D347" s="171" t="s">
        <v>2397</v>
      </c>
      <c r="E347" s="171" t="s">
        <v>1291</v>
      </c>
      <c r="F347" s="171" t="s">
        <v>1760</v>
      </c>
      <c r="G347" s="171" t="s">
        <v>288</v>
      </c>
    </row>
    <row r="348" customFormat="false" ht="15" hidden="false" customHeight="false" outlineLevel="0" collapsed="false">
      <c r="A348" s="171" t="s">
        <v>2398</v>
      </c>
      <c r="B348" s="171" t="s">
        <v>1288</v>
      </c>
      <c r="C348" s="171" t="s">
        <v>2399</v>
      </c>
      <c r="D348" s="171" t="s">
        <v>2400</v>
      </c>
      <c r="E348" s="171" t="s">
        <v>1291</v>
      </c>
      <c r="F348" s="171" t="s">
        <v>1258</v>
      </c>
      <c r="G348" s="171" t="s">
        <v>437</v>
      </c>
    </row>
    <row r="349" customFormat="false" ht="15" hidden="false" customHeight="false" outlineLevel="0" collapsed="false">
      <c r="A349" s="171" t="s">
        <v>89</v>
      </c>
      <c r="B349" s="171" t="s">
        <v>1288</v>
      </c>
      <c r="C349" s="171" t="s">
        <v>2401</v>
      </c>
      <c r="D349" s="171" t="s">
        <v>1075</v>
      </c>
      <c r="E349" s="171" t="s">
        <v>1291</v>
      </c>
      <c r="F349" s="171" t="s">
        <v>1077</v>
      </c>
      <c r="G349" s="171" t="s">
        <v>240</v>
      </c>
    </row>
    <row r="350" customFormat="false" ht="15" hidden="false" customHeight="false" outlineLevel="0" collapsed="false">
      <c r="A350" s="171" t="s">
        <v>2402</v>
      </c>
      <c r="B350" s="171" t="s">
        <v>1288</v>
      </c>
      <c r="C350" s="171" t="s">
        <v>2403</v>
      </c>
      <c r="D350" s="171" t="s">
        <v>2404</v>
      </c>
      <c r="E350" s="171" t="s">
        <v>1291</v>
      </c>
      <c r="F350" s="171" t="s">
        <v>1360</v>
      </c>
      <c r="G350" s="171" t="s">
        <v>396</v>
      </c>
    </row>
    <row r="351" customFormat="false" ht="15" hidden="false" customHeight="false" outlineLevel="0" collapsed="false">
      <c r="A351" s="171" t="s">
        <v>2405</v>
      </c>
      <c r="B351" s="171" t="s">
        <v>1288</v>
      </c>
      <c r="C351" s="171" t="s">
        <v>2406</v>
      </c>
      <c r="D351" s="171" t="s">
        <v>2407</v>
      </c>
      <c r="E351" s="171" t="s">
        <v>1291</v>
      </c>
      <c r="F351" s="171" t="s">
        <v>1806</v>
      </c>
      <c r="G351" s="171" t="s">
        <v>710</v>
      </c>
    </row>
    <row r="352" customFormat="false" ht="15" hidden="false" customHeight="false" outlineLevel="0" collapsed="false">
      <c r="A352" s="171" t="s">
        <v>2408</v>
      </c>
      <c r="B352" s="171" t="s">
        <v>1288</v>
      </c>
      <c r="C352" s="171" t="s">
        <v>2409</v>
      </c>
      <c r="D352" s="171" t="s">
        <v>2410</v>
      </c>
      <c r="E352" s="171" t="s">
        <v>1291</v>
      </c>
      <c r="F352" s="171" t="s">
        <v>1500</v>
      </c>
      <c r="G352" s="171" t="s">
        <v>396</v>
      </c>
    </row>
    <row r="353" customFormat="false" ht="15" hidden="false" customHeight="false" outlineLevel="0" collapsed="false">
      <c r="A353" s="171" t="s">
        <v>2411</v>
      </c>
      <c r="B353" s="171" t="s">
        <v>1288</v>
      </c>
      <c r="C353" s="171" t="s">
        <v>2412</v>
      </c>
      <c r="D353" s="171" t="s">
        <v>2413</v>
      </c>
      <c r="E353" s="171" t="s">
        <v>1291</v>
      </c>
      <c r="F353" s="171" t="s">
        <v>425</v>
      </c>
      <c r="G353" s="171" t="s">
        <v>295</v>
      </c>
    </row>
    <row r="354" customFormat="false" ht="15" hidden="false" customHeight="false" outlineLevel="0" collapsed="false">
      <c r="A354" s="171" t="s">
        <v>488</v>
      </c>
      <c r="B354" s="171" t="s">
        <v>1288</v>
      </c>
      <c r="C354" s="171" t="s">
        <v>2414</v>
      </c>
      <c r="D354" s="171" t="s">
        <v>2415</v>
      </c>
      <c r="E354" s="171" t="s">
        <v>1291</v>
      </c>
      <c r="F354" s="171" t="s">
        <v>1500</v>
      </c>
      <c r="G354" s="171" t="s">
        <v>396</v>
      </c>
    </row>
    <row r="355" customFormat="false" ht="15" hidden="false" customHeight="false" outlineLevel="0" collapsed="false">
      <c r="A355" s="171" t="s">
        <v>101</v>
      </c>
      <c r="B355" s="171" t="s">
        <v>1288</v>
      </c>
      <c r="C355" s="171" t="s">
        <v>2416</v>
      </c>
      <c r="D355" s="171" t="s">
        <v>2417</v>
      </c>
      <c r="E355" s="171" t="s">
        <v>1291</v>
      </c>
      <c r="F355" s="171" t="s">
        <v>2418</v>
      </c>
      <c r="G355" s="171" t="s">
        <v>260</v>
      </c>
    </row>
    <row r="356" customFormat="false" ht="15" hidden="false" customHeight="false" outlineLevel="0" collapsed="false">
      <c r="A356" s="171" t="s">
        <v>2419</v>
      </c>
      <c r="B356" s="171" t="s">
        <v>1288</v>
      </c>
      <c r="C356" s="171" t="s">
        <v>2420</v>
      </c>
      <c r="D356" s="171" t="s">
        <v>2421</v>
      </c>
      <c r="E356" s="171" t="s">
        <v>1291</v>
      </c>
      <c r="F356" s="171" t="s">
        <v>295</v>
      </c>
      <c r="G356" s="171" t="s">
        <v>295</v>
      </c>
    </row>
    <row r="357" customFormat="false" ht="15" hidden="false" customHeight="false" outlineLevel="0" collapsed="false">
      <c r="A357" s="171" t="s">
        <v>2422</v>
      </c>
      <c r="B357" s="171" t="s">
        <v>1306</v>
      </c>
      <c r="C357" s="171" t="s">
        <v>2423</v>
      </c>
      <c r="D357" s="171" t="s">
        <v>2424</v>
      </c>
      <c r="E357" s="171" t="s">
        <v>1291</v>
      </c>
      <c r="F357" s="171" t="s">
        <v>2425</v>
      </c>
      <c r="G357" s="171" t="s">
        <v>2072</v>
      </c>
    </row>
    <row r="358" customFormat="false" ht="15" hidden="false" customHeight="false" outlineLevel="0" collapsed="false">
      <c r="A358" s="171" t="s">
        <v>2426</v>
      </c>
      <c r="B358" s="171" t="s">
        <v>1288</v>
      </c>
      <c r="C358" s="171" t="s">
        <v>1924</v>
      </c>
      <c r="D358" s="171" t="s">
        <v>1925</v>
      </c>
      <c r="E358" s="171" t="s">
        <v>1291</v>
      </c>
      <c r="F358" s="171" t="s">
        <v>1550</v>
      </c>
      <c r="G358" s="171" t="s">
        <v>295</v>
      </c>
    </row>
    <row r="359" customFormat="false" ht="15" hidden="false" customHeight="false" outlineLevel="0" collapsed="false">
      <c r="A359" s="171" t="s">
        <v>2427</v>
      </c>
      <c r="B359" s="171" t="s">
        <v>1306</v>
      </c>
      <c r="C359" s="171" t="s">
        <v>2428</v>
      </c>
      <c r="D359" s="171" t="s">
        <v>2429</v>
      </c>
      <c r="E359" s="171" t="s">
        <v>1291</v>
      </c>
      <c r="F359" s="171" t="s">
        <v>465</v>
      </c>
      <c r="G359" s="171" t="s">
        <v>437</v>
      </c>
    </row>
    <row r="360" customFormat="false" ht="15" hidden="false" customHeight="false" outlineLevel="0" collapsed="false">
      <c r="A360" s="171" t="s">
        <v>2430</v>
      </c>
      <c r="B360" s="171" t="s">
        <v>1288</v>
      </c>
      <c r="C360" s="171" t="s">
        <v>2431</v>
      </c>
      <c r="D360" s="171" t="s">
        <v>2432</v>
      </c>
      <c r="E360" s="171" t="s">
        <v>1291</v>
      </c>
      <c r="F360" s="171" t="s">
        <v>2088</v>
      </c>
      <c r="G360" s="171" t="s">
        <v>312</v>
      </c>
    </row>
    <row r="361" customFormat="false" ht="15" hidden="false" customHeight="false" outlineLevel="0" collapsed="false">
      <c r="A361" s="171" t="s">
        <v>109</v>
      </c>
      <c r="B361" s="171" t="s">
        <v>1288</v>
      </c>
      <c r="C361" s="171" t="s">
        <v>2433</v>
      </c>
      <c r="D361" s="171" t="s">
        <v>2434</v>
      </c>
      <c r="E361" s="171" t="s">
        <v>1291</v>
      </c>
      <c r="F361" s="171" t="s">
        <v>179</v>
      </c>
      <c r="G361" s="171" t="s">
        <v>173</v>
      </c>
    </row>
    <row r="362" customFormat="false" ht="15" hidden="false" customHeight="false" outlineLevel="0" collapsed="false">
      <c r="A362" s="171" t="s">
        <v>2435</v>
      </c>
      <c r="B362" s="171" t="s">
        <v>1306</v>
      </c>
      <c r="C362" s="171" t="s">
        <v>2436</v>
      </c>
      <c r="D362" s="171" t="s">
        <v>2437</v>
      </c>
      <c r="E362" s="171" t="s">
        <v>1291</v>
      </c>
      <c r="F362" s="171" t="s">
        <v>1258</v>
      </c>
      <c r="G362" s="171" t="s">
        <v>437</v>
      </c>
    </row>
    <row r="363" customFormat="false" ht="15" hidden="false" customHeight="false" outlineLevel="0" collapsed="false">
      <c r="A363" s="171" t="s">
        <v>2438</v>
      </c>
      <c r="B363" s="171" t="s">
        <v>1288</v>
      </c>
      <c r="C363" s="171" t="s">
        <v>2439</v>
      </c>
      <c r="D363" s="171" t="s">
        <v>2440</v>
      </c>
      <c r="E363" s="171" t="s">
        <v>1291</v>
      </c>
      <c r="F363" s="171" t="s">
        <v>1215</v>
      </c>
      <c r="G363" s="171" t="s">
        <v>677</v>
      </c>
    </row>
    <row r="364" customFormat="false" ht="15" hidden="false" customHeight="false" outlineLevel="0" collapsed="false">
      <c r="A364" s="171" t="s">
        <v>129</v>
      </c>
      <c r="B364" s="171" t="s">
        <v>1288</v>
      </c>
      <c r="C364" s="171" t="s">
        <v>2441</v>
      </c>
      <c r="D364" s="171" t="s">
        <v>2442</v>
      </c>
      <c r="E364" s="171" t="s">
        <v>1291</v>
      </c>
      <c r="F364" s="171" t="s">
        <v>1219</v>
      </c>
      <c r="G364" s="171" t="s">
        <v>173</v>
      </c>
    </row>
    <row r="365" customFormat="false" ht="15" hidden="false" customHeight="false" outlineLevel="0" collapsed="false">
      <c r="A365" s="171" t="s">
        <v>2443</v>
      </c>
      <c r="B365" s="171" t="s">
        <v>1288</v>
      </c>
      <c r="C365" s="171" t="s">
        <v>2444</v>
      </c>
      <c r="D365" s="171" t="s">
        <v>2445</v>
      </c>
      <c r="E365" s="171" t="s">
        <v>1291</v>
      </c>
      <c r="F365" s="171" t="s">
        <v>1298</v>
      </c>
      <c r="G365" s="171" t="s">
        <v>312</v>
      </c>
    </row>
    <row r="366" customFormat="false" ht="15" hidden="false" customHeight="false" outlineLevel="0" collapsed="false">
      <c r="A366" s="171" t="s">
        <v>2446</v>
      </c>
      <c r="B366" s="171" t="s">
        <v>1288</v>
      </c>
      <c r="C366" s="171" t="s">
        <v>2447</v>
      </c>
      <c r="D366" s="171" t="s">
        <v>1113</v>
      </c>
      <c r="E366" s="171" t="s">
        <v>1291</v>
      </c>
      <c r="F366" s="171" t="s">
        <v>1115</v>
      </c>
      <c r="G366" s="171" t="s">
        <v>710</v>
      </c>
    </row>
    <row r="367" customFormat="false" ht="15" hidden="false" customHeight="false" outlineLevel="0" collapsed="false">
      <c r="A367" s="171" t="s">
        <v>2448</v>
      </c>
      <c r="B367" s="171" t="s">
        <v>1288</v>
      </c>
      <c r="C367" s="171" t="s">
        <v>2449</v>
      </c>
      <c r="D367" s="171" t="s">
        <v>2450</v>
      </c>
      <c r="E367" s="171" t="s">
        <v>1291</v>
      </c>
      <c r="F367" s="171" t="s">
        <v>1040</v>
      </c>
      <c r="G367" s="171" t="s">
        <v>710</v>
      </c>
    </row>
    <row r="368" customFormat="false" ht="15" hidden="false" customHeight="false" outlineLevel="0" collapsed="false">
      <c r="A368" s="171" t="s">
        <v>2451</v>
      </c>
      <c r="B368" s="171" t="s">
        <v>1306</v>
      </c>
      <c r="C368" s="171" t="s">
        <v>2452</v>
      </c>
      <c r="D368" s="171" t="s">
        <v>2453</v>
      </c>
      <c r="E368" s="171" t="s">
        <v>1291</v>
      </c>
      <c r="F368" s="171" t="s">
        <v>1616</v>
      </c>
      <c r="G368" s="171" t="s">
        <v>1617</v>
      </c>
    </row>
    <row r="369" customFormat="false" ht="15" hidden="false" customHeight="false" outlineLevel="0" collapsed="false">
      <c r="A369" s="171" t="s">
        <v>2454</v>
      </c>
      <c r="B369" s="171" t="s">
        <v>1288</v>
      </c>
      <c r="C369" s="171" t="s">
        <v>2455</v>
      </c>
      <c r="D369" s="171" t="s">
        <v>2456</v>
      </c>
      <c r="E369" s="171" t="s">
        <v>1291</v>
      </c>
      <c r="F369" s="171" t="s">
        <v>746</v>
      </c>
      <c r="G369" s="171" t="s">
        <v>747</v>
      </c>
    </row>
    <row r="370" customFormat="false" ht="15" hidden="false" customHeight="false" outlineLevel="0" collapsed="false">
      <c r="A370" s="171" t="s">
        <v>2457</v>
      </c>
      <c r="B370" s="171" t="s">
        <v>1288</v>
      </c>
      <c r="C370" s="171" t="s">
        <v>2458</v>
      </c>
      <c r="D370" s="171" t="s">
        <v>2459</v>
      </c>
      <c r="E370" s="171" t="s">
        <v>1291</v>
      </c>
      <c r="F370" s="171" t="s">
        <v>425</v>
      </c>
      <c r="G370" s="171" t="s">
        <v>295</v>
      </c>
    </row>
    <row r="371" customFormat="false" ht="15" hidden="false" customHeight="false" outlineLevel="0" collapsed="false">
      <c r="A371" s="171" t="s">
        <v>2460</v>
      </c>
      <c r="B371" s="171" t="s">
        <v>1288</v>
      </c>
      <c r="C371" s="171" t="s">
        <v>2461</v>
      </c>
      <c r="D371" s="171" t="s">
        <v>2462</v>
      </c>
      <c r="E371" s="171" t="s">
        <v>1291</v>
      </c>
      <c r="F371" s="171" t="s">
        <v>1593</v>
      </c>
      <c r="G371" s="171" t="s">
        <v>288</v>
      </c>
    </row>
    <row r="372" customFormat="false" ht="15" hidden="false" customHeight="false" outlineLevel="0" collapsed="false">
      <c r="A372" s="171" t="s">
        <v>2463</v>
      </c>
      <c r="B372" s="171" t="s">
        <v>1288</v>
      </c>
      <c r="C372" s="171" t="s">
        <v>2464</v>
      </c>
      <c r="D372" s="171" t="s">
        <v>2465</v>
      </c>
      <c r="E372" s="171" t="s">
        <v>1291</v>
      </c>
      <c r="F372" s="171" t="s">
        <v>1087</v>
      </c>
      <c r="G372" s="171" t="s">
        <v>1088</v>
      </c>
    </row>
    <row r="373" customFormat="false" ht="15" hidden="false" customHeight="false" outlineLevel="0" collapsed="false">
      <c r="A373" s="171" t="s">
        <v>2466</v>
      </c>
      <c r="B373" s="171" t="s">
        <v>1288</v>
      </c>
      <c r="C373" s="171" t="s">
        <v>2467</v>
      </c>
      <c r="D373" s="171" t="s">
        <v>2468</v>
      </c>
      <c r="E373" s="171" t="s">
        <v>1291</v>
      </c>
      <c r="F373" s="171" t="s">
        <v>2102</v>
      </c>
      <c r="G373" s="171" t="s">
        <v>288</v>
      </c>
    </row>
    <row r="374" customFormat="false" ht="15" hidden="false" customHeight="false" outlineLevel="0" collapsed="false">
      <c r="A374" s="171" t="s">
        <v>2469</v>
      </c>
      <c r="B374" s="171" t="s">
        <v>1288</v>
      </c>
      <c r="C374" s="171" t="s">
        <v>2470</v>
      </c>
      <c r="D374" s="171" t="s">
        <v>2471</v>
      </c>
      <c r="E374" s="171" t="s">
        <v>1291</v>
      </c>
      <c r="F374" s="171" t="s">
        <v>1149</v>
      </c>
      <c r="G374" s="171" t="s">
        <v>1102</v>
      </c>
    </row>
    <row r="375" customFormat="false" ht="15" hidden="false" customHeight="false" outlineLevel="0" collapsed="false">
      <c r="A375" s="171" t="s">
        <v>2472</v>
      </c>
      <c r="B375" s="171" t="s">
        <v>1288</v>
      </c>
      <c r="C375" s="171" t="s">
        <v>2473</v>
      </c>
      <c r="D375" s="171" t="s">
        <v>2474</v>
      </c>
      <c r="E375" s="171" t="s">
        <v>1291</v>
      </c>
      <c r="F375" s="171" t="s">
        <v>523</v>
      </c>
      <c r="G375" s="171" t="s">
        <v>288</v>
      </c>
    </row>
    <row r="376" customFormat="false" ht="15" hidden="false" customHeight="false" outlineLevel="0" collapsed="false">
      <c r="A376" s="171" t="s">
        <v>2475</v>
      </c>
      <c r="B376" s="171" t="s">
        <v>1306</v>
      </c>
      <c r="C376" s="171" t="s">
        <v>1751</v>
      </c>
      <c r="D376" s="171" t="s">
        <v>1752</v>
      </c>
      <c r="E376" s="171" t="s">
        <v>1291</v>
      </c>
      <c r="F376" s="171" t="s">
        <v>785</v>
      </c>
      <c r="G376" s="171" t="s">
        <v>295</v>
      </c>
    </row>
    <row r="377" customFormat="false" ht="15" hidden="false" customHeight="false" outlineLevel="0" collapsed="false">
      <c r="A377" s="171" t="s">
        <v>2476</v>
      </c>
      <c r="B377" s="171" t="s">
        <v>1288</v>
      </c>
      <c r="C377" s="171" t="s">
        <v>2477</v>
      </c>
      <c r="D377" s="171" t="s">
        <v>2478</v>
      </c>
      <c r="E377" s="171" t="s">
        <v>1291</v>
      </c>
      <c r="F377" s="171" t="s">
        <v>1077</v>
      </c>
      <c r="G377" s="171" t="s">
        <v>240</v>
      </c>
    </row>
    <row r="378" customFormat="false" ht="15" hidden="false" customHeight="false" outlineLevel="0" collapsed="false">
      <c r="A378" s="171" t="s">
        <v>2479</v>
      </c>
      <c r="B378" s="171" t="s">
        <v>1288</v>
      </c>
      <c r="C378" s="171" t="s">
        <v>2480</v>
      </c>
      <c r="D378" s="171" t="s">
        <v>2481</v>
      </c>
      <c r="E378" s="171" t="s">
        <v>1291</v>
      </c>
      <c r="F378" s="171" t="s">
        <v>1718</v>
      </c>
      <c r="G378" s="171" t="s">
        <v>454</v>
      </c>
    </row>
    <row r="379" customFormat="false" ht="15" hidden="false" customHeight="false" outlineLevel="0" collapsed="false">
      <c r="A379" s="171" t="s">
        <v>2482</v>
      </c>
      <c r="B379" s="171" t="s">
        <v>1288</v>
      </c>
      <c r="C379" s="171" t="s">
        <v>2483</v>
      </c>
      <c r="D379" s="171" t="s">
        <v>2484</v>
      </c>
      <c r="E379" s="171" t="s">
        <v>1291</v>
      </c>
      <c r="F379" s="171" t="s">
        <v>1597</v>
      </c>
      <c r="G379" s="171" t="s">
        <v>240</v>
      </c>
    </row>
    <row r="380" customFormat="false" ht="15" hidden="false" customHeight="false" outlineLevel="0" collapsed="false">
      <c r="A380" s="171" t="s">
        <v>2485</v>
      </c>
      <c r="B380" s="171" t="s">
        <v>1288</v>
      </c>
      <c r="C380" s="171" t="s">
        <v>2486</v>
      </c>
      <c r="D380" s="171" t="s">
        <v>2487</v>
      </c>
      <c r="E380" s="171" t="s">
        <v>1291</v>
      </c>
      <c r="F380" s="171" t="s">
        <v>2302</v>
      </c>
      <c r="G380" s="171" t="s">
        <v>288</v>
      </c>
    </row>
    <row r="381" customFormat="false" ht="15" hidden="false" customHeight="false" outlineLevel="0" collapsed="false">
      <c r="A381" s="171" t="s">
        <v>2488</v>
      </c>
      <c r="B381" s="171" t="s">
        <v>1288</v>
      </c>
      <c r="C381" s="171" t="s">
        <v>2489</v>
      </c>
      <c r="D381" s="171" t="s">
        <v>2490</v>
      </c>
      <c r="E381" s="171" t="s">
        <v>1291</v>
      </c>
      <c r="F381" s="171" t="s">
        <v>1246</v>
      </c>
      <c r="G381" s="171" t="s">
        <v>295</v>
      </c>
    </row>
    <row r="382" customFormat="false" ht="15" hidden="false" customHeight="false" outlineLevel="0" collapsed="false">
      <c r="A382" s="171" t="s">
        <v>2491</v>
      </c>
      <c r="B382" s="171" t="s">
        <v>1288</v>
      </c>
      <c r="C382" s="171" t="s">
        <v>2492</v>
      </c>
      <c r="D382" s="171" t="s">
        <v>2493</v>
      </c>
      <c r="E382" s="171" t="s">
        <v>1291</v>
      </c>
      <c r="F382" s="171" t="s">
        <v>1230</v>
      </c>
      <c r="G382" s="171" t="s">
        <v>396</v>
      </c>
    </row>
    <row r="383" customFormat="false" ht="15" hidden="false" customHeight="false" outlineLevel="0" collapsed="false">
      <c r="A383" s="171" t="s">
        <v>2494</v>
      </c>
      <c r="B383" s="171" t="s">
        <v>1288</v>
      </c>
      <c r="C383" s="171" t="s">
        <v>1379</v>
      </c>
      <c r="D383" s="171" t="s">
        <v>2495</v>
      </c>
      <c r="E383" s="171" t="s">
        <v>1291</v>
      </c>
      <c r="F383" s="171" t="s">
        <v>2088</v>
      </c>
      <c r="G383" s="171" t="s">
        <v>312</v>
      </c>
    </row>
    <row r="384" customFormat="false" ht="15" hidden="false" customHeight="false" outlineLevel="0" collapsed="false">
      <c r="A384" s="171" t="s">
        <v>2496</v>
      </c>
      <c r="B384" s="171" t="s">
        <v>1288</v>
      </c>
      <c r="C384" s="171" t="s">
        <v>2497</v>
      </c>
      <c r="D384" s="171" t="s">
        <v>2498</v>
      </c>
      <c r="E384" s="171" t="s">
        <v>1291</v>
      </c>
      <c r="F384" s="171" t="s">
        <v>259</v>
      </c>
      <c r="G384" s="171" t="s">
        <v>260</v>
      </c>
    </row>
    <row r="385" customFormat="false" ht="15" hidden="false" customHeight="false" outlineLevel="0" collapsed="false">
      <c r="A385" s="171" t="s">
        <v>41</v>
      </c>
      <c r="B385" s="171" t="s">
        <v>1288</v>
      </c>
      <c r="C385" s="171" t="s">
        <v>2499</v>
      </c>
      <c r="D385" s="171" t="s">
        <v>724</v>
      </c>
      <c r="E385" s="171" t="s">
        <v>1291</v>
      </c>
      <c r="F385" s="171" t="s">
        <v>726</v>
      </c>
      <c r="G385" s="171" t="s">
        <v>260</v>
      </c>
    </row>
    <row r="386" customFormat="false" ht="15" hidden="false" customHeight="false" outlineLevel="0" collapsed="false">
      <c r="A386" s="171" t="s">
        <v>2500</v>
      </c>
      <c r="B386" s="171" t="s">
        <v>1288</v>
      </c>
      <c r="C386" s="171" t="s">
        <v>2501</v>
      </c>
      <c r="D386" s="171" t="s">
        <v>2502</v>
      </c>
      <c r="E386" s="171" t="s">
        <v>1291</v>
      </c>
      <c r="F386" s="171" t="s">
        <v>2503</v>
      </c>
      <c r="G386" s="171" t="s">
        <v>952</v>
      </c>
    </row>
    <row r="387" customFormat="false" ht="15" hidden="false" customHeight="false" outlineLevel="0" collapsed="false">
      <c r="A387" s="171" t="s">
        <v>2504</v>
      </c>
      <c r="B387" s="171" t="s">
        <v>1306</v>
      </c>
      <c r="C387" s="171" t="s">
        <v>2137</v>
      </c>
      <c r="D387" s="171" t="s">
        <v>2505</v>
      </c>
      <c r="E387" s="171" t="s">
        <v>1291</v>
      </c>
      <c r="F387" s="171" t="s">
        <v>1230</v>
      </c>
      <c r="G387" s="171" t="s">
        <v>396</v>
      </c>
    </row>
    <row r="388" customFormat="false" ht="15" hidden="false" customHeight="false" outlineLevel="0" collapsed="false">
      <c r="A388" s="171" t="s">
        <v>2506</v>
      </c>
      <c r="B388" s="171" t="s">
        <v>1288</v>
      </c>
      <c r="C388" s="171" t="s">
        <v>2507</v>
      </c>
      <c r="D388" s="171" t="s">
        <v>2508</v>
      </c>
      <c r="E388" s="171" t="s">
        <v>1291</v>
      </c>
      <c r="F388" s="171" t="s">
        <v>295</v>
      </c>
      <c r="G388" s="171" t="s">
        <v>295</v>
      </c>
    </row>
    <row r="389" customFormat="false" ht="15" hidden="false" customHeight="false" outlineLevel="0" collapsed="false">
      <c r="A389" s="171" t="s">
        <v>2509</v>
      </c>
      <c r="B389" s="171" t="s">
        <v>1306</v>
      </c>
      <c r="C389" s="171" t="s">
        <v>2510</v>
      </c>
      <c r="D389" s="171" t="s">
        <v>2511</v>
      </c>
      <c r="E389" s="171" t="s">
        <v>1291</v>
      </c>
      <c r="F389" s="171" t="s">
        <v>1238</v>
      </c>
      <c r="G389" s="171" t="s">
        <v>710</v>
      </c>
    </row>
    <row r="390" customFormat="false" ht="15" hidden="false" customHeight="false" outlineLevel="0" collapsed="false">
      <c r="A390" s="171" t="s">
        <v>33</v>
      </c>
      <c r="B390" s="171" t="s">
        <v>1288</v>
      </c>
      <c r="C390" s="171" t="s">
        <v>2115</v>
      </c>
      <c r="D390" s="171" t="s">
        <v>1129</v>
      </c>
      <c r="E390" s="171" t="s">
        <v>1291</v>
      </c>
      <c r="F390" s="171" t="s">
        <v>1131</v>
      </c>
      <c r="G390" s="171" t="s">
        <v>642</v>
      </c>
    </row>
    <row r="391" customFormat="false" ht="15" hidden="false" customHeight="false" outlineLevel="0" collapsed="false">
      <c r="A391" s="171" t="s">
        <v>2512</v>
      </c>
      <c r="B391" s="171" t="s">
        <v>1306</v>
      </c>
      <c r="C391" s="171" t="s">
        <v>2513</v>
      </c>
      <c r="D391" s="171" t="s">
        <v>2514</v>
      </c>
      <c r="E391" s="171" t="s">
        <v>1291</v>
      </c>
      <c r="F391" s="171" t="s">
        <v>2515</v>
      </c>
      <c r="G391" s="171" t="s">
        <v>1266</v>
      </c>
    </row>
    <row r="392" customFormat="false" ht="15" hidden="false" customHeight="false" outlineLevel="0" collapsed="false">
      <c r="A392" s="171" t="s">
        <v>2516</v>
      </c>
      <c r="B392" s="171" t="s">
        <v>1306</v>
      </c>
      <c r="C392" s="171" t="s">
        <v>2517</v>
      </c>
      <c r="D392" s="171" t="s">
        <v>2518</v>
      </c>
      <c r="E392" s="171" t="s">
        <v>1291</v>
      </c>
      <c r="F392" s="171" t="s">
        <v>2519</v>
      </c>
      <c r="G392" s="171" t="s">
        <v>1339</v>
      </c>
    </row>
    <row r="393" customFormat="false" ht="15" hidden="false" customHeight="false" outlineLevel="0" collapsed="false">
      <c r="A393" s="171" t="s">
        <v>2520</v>
      </c>
      <c r="B393" s="171" t="s">
        <v>1288</v>
      </c>
      <c r="C393" s="171" t="s">
        <v>2521</v>
      </c>
      <c r="D393" s="171" t="s">
        <v>2522</v>
      </c>
      <c r="E393" s="171" t="s">
        <v>1291</v>
      </c>
      <c r="F393" s="171" t="s">
        <v>1686</v>
      </c>
      <c r="G393" s="171" t="s">
        <v>288</v>
      </c>
    </row>
    <row r="394" customFormat="false" ht="15" hidden="false" customHeight="false" outlineLevel="0" collapsed="false">
      <c r="A394" s="171" t="s">
        <v>2523</v>
      </c>
      <c r="B394" s="171" t="s">
        <v>1306</v>
      </c>
      <c r="C394" s="171" t="s">
        <v>2524</v>
      </c>
      <c r="D394" s="171" t="s">
        <v>2525</v>
      </c>
      <c r="E394" s="171" t="s">
        <v>1291</v>
      </c>
      <c r="F394" s="171" t="s">
        <v>1230</v>
      </c>
      <c r="G394" s="171" t="s">
        <v>396</v>
      </c>
    </row>
    <row r="395" customFormat="false" ht="15" hidden="false" customHeight="false" outlineLevel="0" collapsed="false">
      <c r="A395" s="171" t="s">
        <v>2526</v>
      </c>
      <c r="B395" s="171" t="s">
        <v>1288</v>
      </c>
      <c r="C395" s="171" t="s">
        <v>2527</v>
      </c>
      <c r="D395" s="171" t="s">
        <v>2528</v>
      </c>
      <c r="E395" s="171" t="s">
        <v>1291</v>
      </c>
      <c r="F395" s="171" t="s">
        <v>2529</v>
      </c>
      <c r="G395" s="171" t="s">
        <v>320</v>
      </c>
    </row>
    <row r="396" customFormat="false" ht="15" hidden="false" customHeight="false" outlineLevel="0" collapsed="false">
      <c r="A396" s="171" t="s">
        <v>2530</v>
      </c>
      <c r="B396" s="171" t="s">
        <v>1306</v>
      </c>
      <c r="C396" s="171" t="s">
        <v>2531</v>
      </c>
      <c r="D396" s="171" t="s">
        <v>2532</v>
      </c>
      <c r="E396" s="171" t="s">
        <v>1291</v>
      </c>
      <c r="F396" s="171" t="s">
        <v>2533</v>
      </c>
      <c r="G396" s="171" t="s">
        <v>281</v>
      </c>
    </row>
    <row r="397" customFormat="false" ht="15" hidden="false" customHeight="false" outlineLevel="0" collapsed="false">
      <c r="A397" s="171" t="s">
        <v>2534</v>
      </c>
      <c r="B397" s="171" t="s">
        <v>1288</v>
      </c>
      <c r="C397" s="171" t="s">
        <v>1960</v>
      </c>
      <c r="D397" s="171" t="s">
        <v>925</v>
      </c>
      <c r="E397" s="171" t="s">
        <v>1291</v>
      </c>
      <c r="F397" s="171" t="s">
        <v>927</v>
      </c>
      <c r="G397" s="171" t="s">
        <v>288</v>
      </c>
    </row>
    <row r="398" customFormat="false" ht="15" hidden="false" customHeight="false" outlineLevel="0" collapsed="false">
      <c r="A398" s="171" t="s">
        <v>2535</v>
      </c>
      <c r="B398" s="171" t="s">
        <v>1288</v>
      </c>
      <c r="C398" s="171" t="s">
        <v>2536</v>
      </c>
      <c r="D398" s="171" t="s">
        <v>2537</v>
      </c>
      <c r="E398" s="171" t="s">
        <v>1291</v>
      </c>
      <c r="F398" s="171" t="s">
        <v>330</v>
      </c>
      <c r="G398" s="171" t="s">
        <v>240</v>
      </c>
    </row>
    <row r="399" customFormat="false" ht="15" hidden="false" customHeight="false" outlineLevel="0" collapsed="false">
      <c r="A399" s="171" t="s">
        <v>2538</v>
      </c>
      <c r="B399" s="171" t="s">
        <v>1288</v>
      </c>
      <c r="C399" s="171" t="s">
        <v>2539</v>
      </c>
      <c r="D399" s="171" t="s">
        <v>2540</v>
      </c>
      <c r="E399" s="171" t="s">
        <v>1291</v>
      </c>
      <c r="F399" s="171" t="s">
        <v>796</v>
      </c>
      <c r="G399" s="171" t="s">
        <v>295</v>
      </c>
    </row>
    <row r="400" customFormat="false" ht="15" hidden="false" customHeight="false" outlineLevel="0" collapsed="false">
      <c r="A400" s="171" t="s">
        <v>2541</v>
      </c>
      <c r="B400" s="171" t="s">
        <v>1288</v>
      </c>
      <c r="C400" s="171" t="s">
        <v>2542</v>
      </c>
      <c r="D400" s="171" t="s">
        <v>2543</v>
      </c>
      <c r="E400" s="171" t="s">
        <v>1291</v>
      </c>
      <c r="F400" s="171" t="s">
        <v>179</v>
      </c>
      <c r="G400" s="171" t="s">
        <v>173</v>
      </c>
    </row>
    <row r="401" customFormat="false" ht="15" hidden="false" customHeight="false" outlineLevel="0" collapsed="false">
      <c r="A401" s="171" t="s">
        <v>2544</v>
      </c>
      <c r="B401" s="171" t="s">
        <v>1288</v>
      </c>
      <c r="C401" s="171" t="s">
        <v>2545</v>
      </c>
      <c r="D401" s="171" t="s">
        <v>2546</v>
      </c>
      <c r="E401" s="171" t="s">
        <v>1291</v>
      </c>
      <c r="F401" s="171" t="s">
        <v>2257</v>
      </c>
      <c r="G401" s="171" t="s">
        <v>1745</v>
      </c>
    </row>
    <row r="402" customFormat="false" ht="15" hidden="false" customHeight="false" outlineLevel="0" collapsed="false">
      <c r="A402" s="171" t="s">
        <v>2547</v>
      </c>
      <c r="B402" s="171" t="s">
        <v>1288</v>
      </c>
      <c r="C402" s="171" t="s">
        <v>2548</v>
      </c>
      <c r="D402" s="171" t="s">
        <v>2549</v>
      </c>
      <c r="E402" s="171" t="s">
        <v>1291</v>
      </c>
      <c r="F402" s="171" t="s">
        <v>1672</v>
      </c>
      <c r="G402" s="171" t="s">
        <v>677</v>
      </c>
    </row>
    <row r="403" customFormat="false" ht="15" hidden="false" customHeight="false" outlineLevel="0" collapsed="false">
      <c r="A403" s="171" t="s">
        <v>2550</v>
      </c>
      <c r="B403" s="171" t="s">
        <v>1288</v>
      </c>
      <c r="C403" s="171" t="s">
        <v>2551</v>
      </c>
      <c r="D403" s="171" t="s">
        <v>2552</v>
      </c>
      <c r="E403" s="171" t="s">
        <v>1291</v>
      </c>
      <c r="F403" s="171" t="s">
        <v>1949</v>
      </c>
      <c r="G403" s="171" t="s">
        <v>240</v>
      </c>
    </row>
    <row r="404" customFormat="false" ht="15" hidden="false" customHeight="false" outlineLevel="0" collapsed="false">
      <c r="A404" s="171" t="s">
        <v>2553</v>
      </c>
      <c r="B404" s="171" t="s">
        <v>1288</v>
      </c>
      <c r="C404" s="171" t="s">
        <v>2554</v>
      </c>
      <c r="D404" s="171" t="s">
        <v>2555</v>
      </c>
      <c r="E404" s="171" t="s">
        <v>1291</v>
      </c>
      <c r="F404" s="171" t="s">
        <v>482</v>
      </c>
      <c r="G404" s="171" t="s">
        <v>1068</v>
      </c>
    </row>
    <row r="405" customFormat="false" ht="15" hidden="false" customHeight="false" outlineLevel="0" collapsed="false">
      <c r="A405" s="171" t="s">
        <v>2556</v>
      </c>
      <c r="B405" s="171" t="s">
        <v>1288</v>
      </c>
      <c r="C405" s="171" t="s">
        <v>2557</v>
      </c>
      <c r="D405" s="171" t="s">
        <v>2558</v>
      </c>
      <c r="E405" s="171" t="s">
        <v>1291</v>
      </c>
      <c r="F405" s="171" t="s">
        <v>395</v>
      </c>
      <c r="G405" s="171" t="s">
        <v>710</v>
      </c>
    </row>
    <row r="406" customFormat="false" ht="15" hidden="false" customHeight="false" outlineLevel="0" collapsed="false">
      <c r="A406" s="171" t="s">
        <v>2559</v>
      </c>
      <c r="B406" s="171" t="s">
        <v>1306</v>
      </c>
      <c r="C406" s="171" t="s">
        <v>2560</v>
      </c>
      <c r="D406" s="171" t="s">
        <v>2561</v>
      </c>
      <c r="E406" s="171" t="s">
        <v>1291</v>
      </c>
      <c r="F406" s="171" t="s">
        <v>1929</v>
      </c>
      <c r="G406" s="171" t="s">
        <v>437</v>
      </c>
    </row>
    <row r="407" customFormat="false" ht="15" hidden="false" customHeight="false" outlineLevel="0" collapsed="false">
      <c r="A407" s="171" t="s">
        <v>2562</v>
      </c>
      <c r="B407" s="171" t="s">
        <v>1288</v>
      </c>
      <c r="C407" s="171" t="s">
        <v>2346</v>
      </c>
      <c r="D407" s="171" t="s">
        <v>1043</v>
      </c>
      <c r="E407" s="171" t="s">
        <v>1291</v>
      </c>
      <c r="F407" s="171" t="s">
        <v>547</v>
      </c>
      <c r="G407" s="171" t="s">
        <v>295</v>
      </c>
    </row>
    <row r="408" customFormat="false" ht="15" hidden="false" customHeight="false" outlineLevel="0" collapsed="false">
      <c r="A408" s="171" t="s">
        <v>2563</v>
      </c>
      <c r="B408" s="171" t="s">
        <v>1288</v>
      </c>
      <c r="C408" s="171" t="s">
        <v>2564</v>
      </c>
      <c r="D408" s="171" t="s">
        <v>2565</v>
      </c>
      <c r="E408" s="171" t="s">
        <v>1291</v>
      </c>
      <c r="F408" s="171" t="s">
        <v>844</v>
      </c>
      <c r="G408" s="171" t="s">
        <v>281</v>
      </c>
    </row>
    <row r="409" customFormat="false" ht="15" hidden="false" customHeight="false" outlineLevel="0" collapsed="false">
      <c r="A409" s="171" t="s">
        <v>2566</v>
      </c>
      <c r="B409" s="171" t="s">
        <v>1288</v>
      </c>
      <c r="C409" s="171" t="s">
        <v>2567</v>
      </c>
      <c r="D409" s="171" t="s">
        <v>2568</v>
      </c>
      <c r="E409" s="171" t="s">
        <v>1291</v>
      </c>
      <c r="F409" s="171" t="s">
        <v>2569</v>
      </c>
      <c r="G409" s="171" t="s">
        <v>454</v>
      </c>
    </row>
    <row r="410" customFormat="false" ht="15" hidden="false" customHeight="false" outlineLevel="0" collapsed="false">
      <c r="A410" s="171" t="s">
        <v>2570</v>
      </c>
      <c r="B410" s="171" t="s">
        <v>1288</v>
      </c>
      <c r="C410" s="171" t="s">
        <v>2571</v>
      </c>
      <c r="D410" s="171" t="s">
        <v>2572</v>
      </c>
      <c r="E410" s="171" t="s">
        <v>1291</v>
      </c>
      <c r="F410" s="171" t="s">
        <v>1916</v>
      </c>
      <c r="G410" s="171" t="s">
        <v>288</v>
      </c>
    </row>
    <row r="411" customFormat="false" ht="15" hidden="false" customHeight="false" outlineLevel="0" collapsed="false">
      <c r="A411" s="171" t="s">
        <v>2573</v>
      </c>
      <c r="B411" s="171" t="s">
        <v>1288</v>
      </c>
      <c r="C411" s="171" t="s">
        <v>2574</v>
      </c>
      <c r="D411" s="171" t="s">
        <v>2575</v>
      </c>
      <c r="E411" s="171" t="s">
        <v>1291</v>
      </c>
      <c r="F411" s="171" t="s">
        <v>1326</v>
      </c>
      <c r="G411" s="171" t="s">
        <v>173</v>
      </c>
    </row>
    <row r="412" customFormat="false" ht="15" hidden="false" customHeight="false" outlineLevel="0" collapsed="false">
      <c r="A412" s="171" t="s">
        <v>2576</v>
      </c>
      <c r="B412" s="171" t="s">
        <v>1306</v>
      </c>
      <c r="C412" s="171" t="s">
        <v>2577</v>
      </c>
      <c r="D412" s="171" t="s">
        <v>2578</v>
      </c>
      <c r="E412" s="171" t="s">
        <v>1291</v>
      </c>
      <c r="F412" s="171" t="s">
        <v>425</v>
      </c>
      <c r="G412" s="171" t="s">
        <v>295</v>
      </c>
    </row>
    <row r="413" customFormat="false" ht="15" hidden="false" customHeight="false" outlineLevel="0" collapsed="false">
      <c r="A413" s="171" t="s">
        <v>2579</v>
      </c>
      <c r="B413" s="171" t="s">
        <v>1288</v>
      </c>
      <c r="C413" s="171" t="s">
        <v>2580</v>
      </c>
      <c r="D413" s="171" t="s">
        <v>2581</v>
      </c>
      <c r="E413" s="171" t="s">
        <v>1291</v>
      </c>
      <c r="F413" s="171" t="s">
        <v>1550</v>
      </c>
      <c r="G413" s="171" t="s">
        <v>295</v>
      </c>
    </row>
    <row r="414" customFormat="false" ht="15" hidden="false" customHeight="false" outlineLevel="0" collapsed="false">
      <c r="A414" s="171" t="s">
        <v>2582</v>
      </c>
      <c r="B414" s="171" t="s">
        <v>1288</v>
      </c>
      <c r="C414" s="171" t="s">
        <v>2583</v>
      </c>
      <c r="D414" s="171" t="s">
        <v>2584</v>
      </c>
      <c r="E414" s="171" t="s">
        <v>1291</v>
      </c>
      <c r="F414" s="171" t="s">
        <v>2585</v>
      </c>
      <c r="G414" s="171" t="s">
        <v>396</v>
      </c>
    </row>
    <row r="415" customFormat="false" ht="15" hidden="false" customHeight="false" outlineLevel="0" collapsed="false">
      <c r="A415" s="171" t="s">
        <v>2586</v>
      </c>
      <c r="B415" s="171" t="s">
        <v>1288</v>
      </c>
      <c r="C415" s="171" t="s">
        <v>2587</v>
      </c>
      <c r="D415" s="171" t="s">
        <v>2588</v>
      </c>
      <c r="E415" s="171" t="s">
        <v>1291</v>
      </c>
      <c r="F415" s="171" t="s">
        <v>710</v>
      </c>
      <c r="G415" s="171" t="s">
        <v>710</v>
      </c>
    </row>
    <row r="416" customFormat="false" ht="15" hidden="false" customHeight="false" outlineLevel="0" collapsed="false">
      <c r="A416" s="171" t="s">
        <v>75</v>
      </c>
      <c r="B416" s="171" t="s">
        <v>1288</v>
      </c>
      <c r="C416" s="171" t="s">
        <v>2589</v>
      </c>
      <c r="D416" s="171" t="s">
        <v>964</v>
      </c>
      <c r="E416" s="171" t="s">
        <v>1291</v>
      </c>
      <c r="F416" s="171" t="s">
        <v>966</v>
      </c>
      <c r="G416" s="171" t="s">
        <v>839</v>
      </c>
    </row>
    <row r="417" customFormat="false" ht="15" hidden="false" customHeight="false" outlineLevel="0" collapsed="false">
      <c r="A417" s="171" t="s">
        <v>2590</v>
      </c>
      <c r="B417" s="171" t="s">
        <v>1306</v>
      </c>
      <c r="C417" s="171" t="s">
        <v>2591</v>
      </c>
      <c r="D417" s="171" t="s">
        <v>2592</v>
      </c>
      <c r="E417" s="171" t="s">
        <v>1291</v>
      </c>
      <c r="F417" s="171" t="s">
        <v>1657</v>
      </c>
      <c r="G417" s="171" t="s">
        <v>288</v>
      </c>
    </row>
    <row r="418" customFormat="false" ht="15" hidden="false" customHeight="false" outlineLevel="0" collapsed="false">
      <c r="A418" s="171" t="s">
        <v>2593</v>
      </c>
      <c r="B418" s="171" t="s">
        <v>1288</v>
      </c>
      <c r="C418" s="171" t="s">
        <v>2594</v>
      </c>
      <c r="D418" s="171" t="s">
        <v>2595</v>
      </c>
      <c r="E418" s="171" t="s">
        <v>1291</v>
      </c>
      <c r="F418" s="171" t="s">
        <v>2596</v>
      </c>
      <c r="G418" s="171" t="s">
        <v>677</v>
      </c>
    </row>
    <row r="419" customFormat="false" ht="15" hidden="false" customHeight="false" outlineLevel="0" collapsed="false">
      <c r="A419" s="171" t="s">
        <v>2597</v>
      </c>
      <c r="B419" s="171" t="s">
        <v>1306</v>
      </c>
      <c r="C419" s="171" t="s">
        <v>2598</v>
      </c>
      <c r="D419" s="171" t="s">
        <v>2599</v>
      </c>
      <c r="E419" s="171" t="s">
        <v>1291</v>
      </c>
      <c r="F419" s="171" t="s">
        <v>2600</v>
      </c>
      <c r="G419" s="171" t="s">
        <v>2601</v>
      </c>
    </row>
    <row r="420" customFormat="false" ht="15" hidden="false" customHeight="false" outlineLevel="0" collapsed="false">
      <c r="A420" s="171" t="s">
        <v>2602</v>
      </c>
      <c r="B420" s="171" t="s">
        <v>1306</v>
      </c>
      <c r="C420" s="171" t="s">
        <v>2603</v>
      </c>
      <c r="D420" s="171" t="s">
        <v>2604</v>
      </c>
      <c r="E420" s="171" t="s">
        <v>1291</v>
      </c>
      <c r="F420" s="171" t="s">
        <v>1077</v>
      </c>
      <c r="G420" s="171" t="s">
        <v>240</v>
      </c>
    </row>
    <row r="421" customFormat="false" ht="15" hidden="false" customHeight="false" outlineLevel="0" collapsed="false">
      <c r="A421" s="171" t="s">
        <v>2605</v>
      </c>
      <c r="B421" s="171" t="s">
        <v>1288</v>
      </c>
      <c r="C421" s="171" t="s">
        <v>2606</v>
      </c>
      <c r="D421" s="171" t="s">
        <v>2607</v>
      </c>
      <c r="E421" s="171" t="s">
        <v>1291</v>
      </c>
      <c r="F421" s="171" t="s">
        <v>1246</v>
      </c>
      <c r="G421" s="171" t="s">
        <v>295</v>
      </c>
    </row>
    <row r="422" customFormat="false" ht="15" hidden="false" customHeight="false" outlineLevel="0" collapsed="false">
      <c r="A422" s="171" t="s">
        <v>2608</v>
      </c>
      <c r="B422" s="171" t="s">
        <v>1288</v>
      </c>
      <c r="C422" s="171" t="s">
        <v>2609</v>
      </c>
      <c r="D422" s="171" t="s">
        <v>2610</v>
      </c>
      <c r="E422" s="171" t="s">
        <v>1291</v>
      </c>
      <c r="F422" s="171" t="s">
        <v>2611</v>
      </c>
      <c r="G422" s="171" t="s">
        <v>312</v>
      </c>
    </row>
    <row r="423" customFormat="false" ht="15" hidden="false" customHeight="false" outlineLevel="0" collapsed="false">
      <c r="A423" s="171" t="s">
        <v>2612</v>
      </c>
      <c r="B423" s="171" t="s">
        <v>1288</v>
      </c>
      <c r="C423" s="171" t="s">
        <v>2613</v>
      </c>
      <c r="D423" s="171" t="s">
        <v>2614</v>
      </c>
      <c r="E423" s="171" t="s">
        <v>1291</v>
      </c>
      <c r="F423" s="171" t="s">
        <v>1230</v>
      </c>
      <c r="G423" s="171" t="s">
        <v>396</v>
      </c>
    </row>
    <row r="424" customFormat="false" ht="15" hidden="false" customHeight="false" outlineLevel="0" collapsed="false">
      <c r="A424" s="171" t="s">
        <v>2615</v>
      </c>
      <c r="B424" s="171" t="s">
        <v>1288</v>
      </c>
      <c r="C424" s="171" t="s">
        <v>2616</v>
      </c>
      <c r="D424" s="171" t="s">
        <v>2617</v>
      </c>
      <c r="E424" s="171" t="s">
        <v>1291</v>
      </c>
      <c r="F424" s="171" t="s">
        <v>1699</v>
      </c>
      <c r="G424" s="171" t="s">
        <v>839</v>
      </c>
    </row>
    <row r="425" customFormat="false" ht="15" hidden="false" customHeight="false" outlineLevel="0" collapsed="false">
      <c r="A425" s="171" t="s">
        <v>2618</v>
      </c>
      <c r="B425" s="171" t="s">
        <v>1288</v>
      </c>
      <c r="C425" s="171" t="s">
        <v>2619</v>
      </c>
      <c r="D425" s="171" t="s">
        <v>2620</v>
      </c>
      <c r="E425" s="171" t="s">
        <v>1291</v>
      </c>
      <c r="F425" s="171" t="s">
        <v>2302</v>
      </c>
      <c r="G425" s="171" t="s">
        <v>288</v>
      </c>
    </row>
    <row r="426" customFormat="false" ht="15" hidden="false" customHeight="false" outlineLevel="0" collapsed="false">
      <c r="A426" s="171" t="s">
        <v>2621</v>
      </c>
      <c r="B426" s="171" t="s">
        <v>1288</v>
      </c>
      <c r="C426" s="171" t="s">
        <v>2622</v>
      </c>
      <c r="D426" s="171" t="s">
        <v>2623</v>
      </c>
      <c r="E426" s="171" t="s">
        <v>1291</v>
      </c>
      <c r="F426" s="171" t="s">
        <v>1686</v>
      </c>
      <c r="G426" s="171" t="s">
        <v>288</v>
      </c>
    </row>
    <row r="427" customFormat="false" ht="15" hidden="false" customHeight="false" outlineLevel="0" collapsed="false">
      <c r="A427" s="171" t="s">
        <v>2624</v>
      </c>
      <c r="B427" s="171" t="s">
        <v>1306</v>
      </c>
      <c r="C427" s="171" t="s">
        <v>2625</v>
      </c>
      <c r="D427" s="171" t="s">
        <v>2626</v>
      </c>
      <c r="E427" s="171" t="s">
        <v>1291</v>
      </c>
      <c r="F427" s="171" t="s">
        <v>2627</v>
      </c>
      <c r="G427" s="171" t="s">
        <v>1365</v>
      </c>
    </row>
    <row r="428" customFormat="false" ht="15" hidden="false" customHeight="false" outlineLevel="0" collapsed="false">
      <c r="A428" s="171" t="s">
        <v>2628</v>
      </c>
      <c r="B428" s="171" t="s">
        <v>1306</v>
      </c>
      <c r="C428" s="171" t="s">
        <v>2629</v>
      </c>
      <c r="D428" s="171" t="s">
        <v>2630</v>
      </c>
      <c r="E428" s="171" t="s">
        <v>1291</v>
      </c>
      <c r="F428" s="171" t="s">
        <v>2631</v>
      </c>
      <c r="G428" s="171" t="s">
        <v>677</v>
      </c>
    </row>
    <row r="429" customFormat="false" ht="15" hidden="false" customHeight="false" outlineLevel="0" collapsed="false">
      <c r="A429" s="171" t="s">
        <v>2632</v>
      </c>
      <c r="B429" s="171" t="s">
        <v>1306</v>
      </c>
      <c r="C429" s="171" t="s">
        <v>2633</v>
      </c>
      <c r="D429" s="171" t="s">
        <v>2634</v>
      </c>
      <c r="E429" s="171" t="s">
        <v>1291</v>
      </c>
      <c r="F429" s="171" t="s">
        <v>2635</v>
      </c>
      <c r="G429" s="171" t="s">
        <v>2636</v>
      </c>
    </row>
    <row r="430" customFormat="false" ht="15" hidden="false" customHeight="false" outlineLevel="0" collapsed="false">
      <c r="A430" s="171" t="s">
        <v>2637</v>
      </c>
      <c r="B430" s="171" t="s">
        <v>1306</v>
      </c>
      <c r="C430" s="171" t="s">
        <v>2638</v>
      </c>
      <c r="D430" s="171" t="s">
        <v>2639</v>
      </c>
      <c r="E430" s="171" t="s">
        <v>1291</v>
      </c>
      <c r="F430" s="171" t="s">
        <v>1454</v>
      </c>
      <c r="G430" s="171" t="s">
        <v>437</v>
      </c>
    </row>
    <row r="431" customFormat="false" ht="15" hidden="false" customHeight="false" outlineLevel="0" collapsed="false">
      <c r="A431" s="171" t="s">
        <v>2640</v>
      </c>
      <c r="B431" s="171" t="s">
        <v>1288</v>
      </c>
      <c r="C431" s="171" t="s">
        <v>2641</v>
      </c>
      <c r="D431" s="171" t="s">
        <v>2642</v>
      </c>
      <c r="E431" s="171" t="s">
        <v>1291</v>
      </c>
      <c r="F431" s="171" t="s">
        <v>939</v>
      </c>
      <c r="G431" s="171" t="s">
        <v>288</v>
      </c>
    </row>
    <row r="432" customFormat="false" ht="15" hidden="false" customHeight="false" outlineLevel="0" collapsed="false">
      <c r="A432" s="171" t="s">
        <v>2643</v>
      </c>
      <c r="B432" s="171" t="s">
        <v>1288</v>
      </c>
      <c r="C432" s="171" t="s">
        <v>2644</v>
      </c>
      <c r="D432" s="171" t="s">
        <v>2645</v>
      </c>
      <c r="E432" s="171" t="s">
        <v>1291</v>
      </c>
      <c r="F432" s="171" t="s">
        <v>1035</v>
      </c>
      <c r="G432" s="171" t="s">
        <v>677</v>
      </c>
    </row>
    <row r="433" customFormat="false" ht="15" hidden="false" customHeight="false" outlineLevel="0" collapsed="false">
      <c r="A433" s="171" t="s">
        <v>2646</v>
      </c>
      <c r="B433" s="171" t="s">
        <v>1288</v>
      </c>
      <c r="C433" s="171" t="s">
        <v>2647</v>
      </c>
      <c r="D433" s="171" t="s">
        <v>2648</v>
      </c>
      <c r="E433" s="171" t="s">
        <v>1291</v>
      </c>
      <c r="F433" s="171" t="s">
        <v>1352</v>
      </c>
      <c r="G433" s="171" t="s">
        <v>437</v>
      </c>
    </row>
    <row r="434" customFormat="false" ht="15" hidden="false" customHeight="false" outlineLevel="0" collapsed="false">
      <c r="A434" s="171" t="s">
        <v>2649</v>
      </c>
      <c r="B434" s="171" t="s">
        <v>1288</v>
      </c>
      <c r="C434" s="171" t="s">
        <v>2650</v>
      </c>
      <c r="D434" s="171" t="s">
        <v>2651</v>
      </c>
      <c r="E434" s="171" t="s">
        <v>1291</v>
      </c>
      <c r="F434" s="171" t="s">
        <v>2652</v>
      </c>
      <c r="G434" s="171" t="s">
        <v>396</v>
      </c>
    </row>
    <row r="435" customFormat="false" ht="15" hidden="false" customHeight="false" outlineLevel="0" collapsed="false">
      <c r="A435" s="171" t="s">
        <v>2653</v>
      </c>
      <c r="B435" s="171" t="s">
        <v>1288</v>
      </c>
      <c r="C435" s="171" t="s">
        <v>2654</v>
      </c>
      <c r="D435" s="171" t="s">
        <v>2655</v>
      </c>
      <c r="E435" s="171" t="s">
        <v>1291</v>
      </c>
      <c r="F435" s="171" t="s">
        <v>2226</v>
      </c>
      <c r="G435" s="171" t="s">
        <v>747</v>
      </c>
    </row>
    <row r="436" customFormat="false" ht="15" hidden="false" customHeight="false" outlineLevel="0" collapsed="false">
      <c r="A436" s="171" t="s">
        <v>2656</v>
      </c>
      <c r="B436" s="171" t="s">
        <v>1306</v>
      </c>
      <c r="C436" s="171" t="s">
        <v>2657</v>
      </c>
      <c r="D436" s="171" t="s">
        <v>2658</v>
      </c>
      <c r="E436" s="171" t="s">
        <v>1291</v>
      </c>
      <c r="F436" s="171" t="s">
        <v>2659</v>
      </c>
      <c r="G436" s="171" t="s">
        <v>2293</v>
      </c>
    </row>
    <row r="437" customFormat="false" ht="15" hidden="false" customHeight="false" outlineLevel="0" collapsed="false">
      <c r="A437" s="171" t="s">
        <v>2660</v>
      </c>
      <c r="B437" s="171" t="s">
        <v>1288</v>
      </c>
      <c r="C437" s="171" t="s">
        <v>2035</v>
      </c>
      <c r="D437" s="171" t="s">
        <v>2036</v>
      </c>
      <c r="E437" s="171" t="s">
        <v>1291</v>
      </c>
      <c r="F437" s="171" t="s">
        <v>1326</v>
      </c>
      <c r="G437" s="171" t="s">
        <v>173</v>
      </c>
    </row>
    <row r="438" customFormat="false" ht="15" hidden="false" customHeight="false" outlineLevel="0" collapsed="false">
      <c r="A438" s="171" t="s">
        <v>2661</v>
      </c>
      <c r="B438" s="171" t="s">
        <v>1288</v>
      </c>
      <c r="C438" s="171" t="s">
        <v>2662</v>
      </c>
      <c r="D438" s="171" t="s">
        <v>2663</v>
      </c>
      <c r="E438" s="171" t="s">
        <v>1291</v>
      </c>
      <c r="F438" s="171" t="s">
        <v>1201</v>
      </c>
      <c r="G438" s="171" t="s">
        <v>295</v>
      </c>
    </row>
    <row r="439" customFormat="false" ht="15" hidden="false" customHeight="false" outlineLevel="0" collapsed="false">
      <c r="A439" s="171" t="s">
        <v>2664</v>
      </c>
      <c r="B439" s="171" t="s">
        <v>1288</v>
      </c>
      <c r="C439" s="171" t="s">
        <v>2665</v>
      </c>
      <c r="D439" s="171" t="s">
        <v>1004</v>
      </c>
      <c r="E439" s="171" t="s">
        <v>1291</v>
      </c>
      <c r="F439" s="171" t="s">
        <v>1006</v>
      </c>
      <c r="G439" s="171" t="s">
        <v>240</v>
      </c>
    </row>
    <row r="440" customFormat="false" ht="15" hidden="false" customHeight="false" outlineLevel="0" collapsed="false">
      <c r="A440" s="171" t="s">
        <v>2666</v>
      </c>
      <c r="B440" s="171" t="s">
        <v>1288</v>
      </c>
      <c r="C440" s="171" t="s">
        <v>2667</v>
      </c>
      <c r="D440" s="171" t="s">
        <v>2668</v>
      </c>
      <c r="E440" s="171" t="s">
        <v>1291</v>
      </c>
      <c r="F440" s="171" t="s">
        <v>1224</v>
      </c>
      <c r="G440" s="171" t="s">
        <v>281</v>
      </c>
    </row>
    <row r="441" customFormat="false" ht="15" hidden="false" customHeight="false" outlineLevel="0" collapsed="false">
      <c r="A441" s="171" t="s">
        <v>2669</v>
      </c>
      <c r="B441" s="171" t="s">
        <v>1306</v>
      </c>
      <c r="C441" s="171" t="s">
        <v>2670</v>
      </c>
      <c r="D441" s="171" t="s">
        <v>2671</v>
      </c>
      <c r="E441" s="171" t="s">
        <v>1291</v>
      </c>
      <c r="F441" s="171" t="s">
        <v>2672</v>
      </c>
      <c r="G441" s="171" t="s">
        <v>240</v>
      </c>
    </row>
    <row r="442" customFormat="false" ht="15" hidden="false" customHeight="false" outlineLevel="0" collapsed="false">
      <c r="A442" s="171" t="s">
        <v>2673</v>
      </c>
      <c r="B442" s="171" t="s">
        <v>1306</v>
      </c>
      <c r="C442" s="171" t="s">
        <v>2674</v>
      </c>
      <c r="D442" s="171" t="s">
        <v>2675</v>
      </c>
      <c r="E442" s="171" t="s">
        <v>1291</v>
      </c>
      <c r="F442" s="171" t="s">
        <v>2676</v>
      </c>
      <c r="G442" s="171" t="s">
        <v>952</v>
      </c>
    </row>
    <row r="443" customFormat="false" ht="15" hidden="false" customHeight="false" outlineLevel="0" collapsed="false">
      <c r="A443" s="171" t="s">
        <v>2677</v>
      </c>
      <c r="B443" s="171" t="s">
        <v>1306</v>
      </c>
      <c r="C443" s="171" t="s">
        <v>2678</v>
      </c>
      <c r="D443" s="171" t="s">
        <v>2679</v>
      </c>
      <c r="E443" s="171" t="s">
        <v>1291</v>
      </c>
      <c r="F443" s="171" t="s">
        <v>2680</v>
      </c>
      <c r="G443" s="171" t="s">
        <v>1745</v>
      </c>
    </row>
    <row r="444" customFormat="false" ht="15" hidden="false" customHeight="false" outlineLevel="0" collapsed="false">
      <c r="A444" s="171" t="s">
        <v>2681</v>
      </c>
      <c r="B444" s="171" t="s">
        <v>1306</v>
      </c>
      <c r="C444" s="171" t="s">
        <v>2682</v>
      </c>
      <c r="D444" s="171" t="s">
        <v>2683</v>
      </c>
      <c r="E444" s="171" t="s">
        <v>1291</v>
      </c>
      <c r="F444" s="171" t="s">
        <v>2684</v>
      </c>
      <c r="G444" s="171" t="s">
        <v>1517</v>
      </c>
    </row>
    <row r="445" customFormat="false" ht="15" hidden="false" customHeight="false" outlineLevel="0" collapsed="false">
      <c r="A445" s="171" t="s">
        <v>2685</v>
      </c>
      <c r="B445" s="171" t="s">
        <v>1288</v>
      </c>
      <c r="C445" s="171" t="s">
        <v>1754</v>
      </c>
      <c r="D445" s="171" t="s">
        <v>2686</v>
      </c>
      <c r="E445" s="171" t="s">
        <v>1291</v>
      </c>
      <c r="F445" s="171" t="s">
        <v>1768</v>
      </c>
      <c r="G445" s="171" t="s">
        <v>710</v>
      </c>
    </row>
    <row r="446" customFormat="false" ht="15" hidden="false" customHeight="false" outlineLevel="0" collapsed="false">
      <c r="A446" s="171" t="s">
        <v>2687</v>
      </c>
      <c r="B446" s="171" t="s">
        <v>1288</v>
      </c>
      <c r="C446" s="171" t="s">
        <v>2688</v>
      </c>
      <c r="D446" s="171" t="s">
        <v>2689</v>
      </c>
      <c r="E446" s="171" t="s">
        <v>1291</v>
      </c>
      <c r="F446" s="171" t="s">
        <v>2020</v>
      </c>
      <c r="G446" s="171" t="s">
        <v>677</v>
      </c>
    </row>
    <row r="447" customFormat="false" ht="15" hidden="false" customHeight="false" outlineLevel="0" collapsed="false">
      <c r="A447" s="171" t="s">
        <v>2690</v>
      </c>
      <c r="B447" s="171" t="s">
        <v>1288</v>
      </c>
      <c r="C447" s="171" t="s">
        <v>2691</v>
      </c>
      <c r="D447" s="171" t="s">
        <v>2692</v>
      </c>
      <c r="E447" s="171" t="s">
        <v>1291</v>
      </c>
      <c r="F447" s="171" t="s">
        <v>895</v>
      </c>
      <c r="G447" s="171" t="s">
        <v>240</v>
      </c>
    </row>
    <row r="448" customFormat="false" ht="15" hidden="false" customHeight="false" outlineLevel="0" collapsed="false">
      <c r="A448" s="171" t="s">
        <v>2693</v>
      </c>
      <c r="B448" s="171" t="s">
        <v>1288</v>
      </c>
      <c r="C448" s="171" t="s">
        <v>2694</v>
      </c>
      <c r="D448" s="171" t="s">
        <v>2695</v>
      </c>
      <c r="E448" s="171" t="s">
        <v>1291</v>
      </c>
      <c r="F448" s="171" t="s">
        <v>1219</v>
      </c>
      <c r="G448" s="171" t="s">
        <v>173</v>
      </c>
    </row>
    <row r="449" customFormat="false" ht="15" hidden="false" customHeight="false" outlineLevel="0" collapsed="false">
      <c r="A449" s="171" t="s">
        <v>2696</v>
      </c>
      <c r="B449" s="171" t="s">
        <v>1288</v>
      </c>
      <c r="C449" s="171" t="s">
        <v>2697</v>
      </c>
      <c r="D449" s="171" t="s">
        <v>2698</v>
      </c>
      <c r="E449" s="171" t="s">
        <v>1291</v>
      </c>
      <c r="F449" s="171" t="s">
        <v>2699</v>
      </c>
      <c r="G449" s="171" t="s">
        <v>677</v>
      </c>
    </row>
    <row r="450" customFormat="false" ht="15" hidden="false" customHeight="false" outlineLevel="0" collapsed="false">
      <c r="A450" s="171" t="s">
        <v>2700</v>
      </c>
      <c r="B450" s="171" t="s">
        <v>1288</v>
      </c>
      <c r="C450" s="171" t="s">
        <v>2622</v>
      </c>
      <c r="D450" s="171" t="s">
        <v>2623</v>
      </c>
      <c r="E450" s="171" t="s">
        <v>1291</v>
      </c>
      <c r="F450" s="171" t="s">
        <v>1686</v>
      </c>
      <c r="G450" s="171" t="s">
        <v>288</v>
      </c>
    </row>
    <row r="451" customFormat="false" ht="15" hidden="false" customHeight="false" outlineLevel="0" collapsed="false">
      <c r="A451" s="171" t="s">
        <v>2701</v>
      </c>
      <c r="B451" s="171" t="s">
        <v>1306</v>
      </c>
      <c r="C451" s="171" t="s">
        <v>2702</v>
      </c>
      <c r="D451" s="171" t="s">
        <v>2703</v>
      </c>
      <c r="E451" s="171" t="s">
        <v>1291</v>
      </c>
      <c r="F451" s="171" t="s">
        <v>1562</v>
      </c>
      <c r="G451" s="171" t="s">
        <v>260</v>
      </c>
    </row>
    <row r="452" customFormat="false" ht="15" hidden="false" customHeight="false" outlineLevel="0" collapsed="false">
      <c r="A452" s="171" t="s">
        <v>2704</v>
      </c>
      <c r="B452" s="171" t="s">
        <v>1288</v>
      </c>
      <c r="C452" s="171" t="s">
        <v>2705</v>
      </c>
      <c r="D452" s="171" t="s">
        <v>2706</v>
      </c>
      <c r="E452" s="171" t="s">
        <v>1291</v>
      </c>
      <c r="F452" s="171" t="s">
        <v>2707</v>
      </c>
      <c r="G452" s="171" t="s">
        <v>281</v>
      </c>
    </row>
    <row r="453" customFormat="false" ht="15" hidden="false" customHeight="false" outlineLevel="0" collapsed="false">
      <c r="A453" s="171" t="s">
        <v>2708</v>
      </c>
      <c r="B453" s="171" t="s">
        <v>1288</v>
      </c>
      <c r="C453" s="171" t="s">
        <v>2709</v>
      </c>
      <c r="D453" s="171" t="s">
        <v>2710</v>
      </c>
      <c r="E453" s="171" t="s">
        <v>1291</v>
      </c>
      <c r="F453" s="171" t="s">
        <v>1798</v>
      </c>
      <c r="G453" s="171" t="s">
        <v>295</v>
      </c>
    </row>
    <row r="454" customFormat="false" ht="15" hidden="false" customHeight="false" outlineLevel="0" collapsed="false">
      <c r="A454" s="171" t="s">
        <v>2711</v>
      </c>
      <c r="B454" s="171" t="s">
        <v>1306</v>
      </c>
      <c r="C454" s="171" t="s">
        <v>2712</v>
      </c>
      <c r="D454" s="171" t="s">
        <v>2713</v>
      </c>
      <c r="E454" s="171" t="s">
        <v>1291</v>
      </c>
      <c r="F454" s="171" t="s">
        <v>2714</v>
      </c>
      <c r="G454" s="171" t="s">
        <v>2293</v>
      </c>
    </row>
    <row r="455" customFormat="false" ht="15" hidden="false" customHeight="false" outlineLevel="0" collapsed="false">
      <c r="A455" s="171" t="s">
        <v>2715</v>
      </c>
      <c r="B455" s="171" t="s">
        <v>1288</v>
      </c>
      <c r="C455" s="171" t="s">
        <v>2716</v>
      </c>
      <c r="D455" s="171" t="s">
        <v>2717</v>
      </c>
      <c r="E455" s="171" t="s">
        <v>1291</v>
      </c>
      <c r="F455" s="171" t="s">
        <v>1201</v>
      </c>
      <c r="G455" s="171" t="s">
        <v>295</v>
      </c>
    </row>
    <row r="456" customFormat="false" ht="15" hidden="false" customHeight="false" outlineLevel="0" collapsed="false">
      <c r="A456" s="171" t="s">
        <v>2718</v>
      </c>
      <c r="B456" s="171" t="s">
        <v>1288</v>
      </c>
      <c r="C456" s="171" t="s">
        <v>2719</v>
      </c>
      <c r="D456" s="171" t="s">
        <v>2720</v>
      </c>
      <c r="E456" s="171" t="s">
        <v>1291</v>
      </c>
      <c r="F456" s="171" t="s">
        <v>425</v>
      </c>
      <c r="G456" s="171" t="s">
        <v>295</v>
      </c>
    </row>
    <row r="457" customFormat="false" ht="15" hidden="false" customHeight="false" outlineLevel="0" collapsed="false">
      <c r="A457" s="171" t="s">
        <v>2721</v>
      </c>
      <c r="B457" s="171" t="s">
        <v>1306</v>
      </c>
      <c r="C457" s="171" t="s">
        <v>2722</v>
      </c>
      <c r="D457" s="171" t="s">
        <v>2723</v>
      </c>
      <c r="E457" s="171" t="s">
        <v>1291</v>
      </c>
      <c r="F457" s="171" t="s">
        <v>1953</v>
      </c>
      <c r="G457" s="171" t="s">
        <v>1574</v>
      </c>
    </row>
    <row r="458" customFormat="false" ht="15" hidden="false" customHeight="false" outlineLevel="0" collapsed="false">
      <c r="A458" s="171" t="s">
        <v>2724</v>
      </c>
      <c r="B458" s="171" t="s">
        <v>1306</v>
      </c>
      <c r="C458" s="171" t="s">
        <v>2725</v>
      </c>
      <c r="D458" s="171" t="s">
        <v>2726</v>
      </c>
      <c r="E458" s="171" t="s">
        <v>1291</v>
      </c>
      <c r="F458" s="171" t="s">
        <v>2293</v>
      </c>
      <c r="G458" s="171" t="s">
        <v>2293</v>
      </c>
    </row>
    <row r="459" customFormat="false" ht="15" hidden="false" customHeight="false" outlineLevel="0" collapsed="false">
      <c r="A459" s="171" t="s">
        <v>2727</v>
      </c>
      <c r="B459" s="171" t="s">
        <v>1306</v>
      </c>
      <c r="C459" s="171" t="s">
        <v>2728</v>
      </c>
      <c r="D459" s="171" t="s">
        <v>2729</v>
      </c>
      <c r="E459" s="171" t="s">
        <v>1291</v>
      </c>
      <c r="F459" s="171" t="s">
        <v>320</v>
      </c>
      <c r="G459" s="171" t="s">
        <v>320</v>
      </c>
    </row>
    <row r="460" customFormat="false" ht="15" hidden="false" customHeight="false" outlineLevel="0" collapsed="false">
      <c r="A460" s="171" t="s">
        <v>2730</v>
      </c>
      <c r="B460" s="171" t="s">
        <v>1306</v>
      </c>
      <c r="C460" s="171" t="s">
        <v>2731</v>
      </c>
      <c r="D460" s="171" t="s">
        <v>2732</v>
      </c>
      <c r="E460" s="171" t="s">
        <v>1291</v>
      </c>
      <c r="F460" s="171" t="s">
        <v>2733</v>
      </c>
      <c r="G460" s="171" t="s">
        <v>1574</v>
      </c>
    </row>
    <row r="461" customFormat="false" ht="15" hidden="false" customHeight="false" outlineLevel="0" collapsed="false">
      <c r="A461" s="171" t="s">
        <v>2734</v>
      </c>
      <c r="B461" s="171" t="s">
        <v>1288</v>
      </c>
      <c r="C461" s="171" t="s">
        <v>2735</v>
      </c>
      <c r="D461" s="171" t="s">
        <v>2736</v>
      </c>
      <c r="E461" s="171" t="s">
        <v>1291</v>
      </c>
      <c r="F461" s="171" t="s">
        <v>547</v>
      </c>
      <c r="G461" s="171" t="s">
        <v>295</v>
      </c>
    </row>
    <row r="462" customFormat="false" ht="15" hidden="false" customHeight="false" outlineLevel="0" collapsed="false">
      <c r="A462" s="171" t="s">
        <v>2737</v>
      </c>
      <c r="B462" s="171" t="s">
        <v>1306</v>
      </c>
      <c r="C462" s="171" t="s">
        <v>2738</v>
      </c>
      <c r="D462" s="171" t="s">
        <v>2739</v>
      </c>
      <c r="E462" s="171" t="s">
        <v>1291</v>
      </c>
      <c r="F462" s="171" t="s">
        <v>2740</v>
      </c>
      <c r="G462" s="171" t="s">
        <v>281</v>
      </c>
    </row>
    <row r="463" customFormat="false" ht="15" hidden="false" customHeight="false" outlineLevel="0" collapsed="false">
      <c r="A463" s="171" t="s">
        <v>2741</v>
      </c>
      <c r="B463" s="171" t="s">
        <v>1288</v>
      </c>
      <c r="C463" s="171" t="s">
        <v>2742</v>
      </c>
      <c r="D463" s="171" t="s">
        <v>2743</v>
      </c>
      <c r="E463" s="171" t="s">
        <v>1291</v>
      </c>
      <c r="F463" s="171" t="s">
        <v>1246</v>
      </c>
      <c r="G463" s="171" t="s">
        <v>295</v>
      </c>
    </row>
    <row r="464" customFormat="false" ht="15" hidden="false" customHeight="false" outlineLevel="0" collapsed="false">
      <c r="A464" s="171" t="s">
        <v>2744</v>
      </c>
      <c r="B464" s="171" t="s">
        <v>1288</v>
      </c>
      <c r="C464" s="171" t="s">
        <v>2745</v>
      </c>
      <c r="D464" s="171" t="s">
        <v>2746</v>
      </c>
      <c r="E464" s="171" t="s">
        <v>1291</v>
      </c>
      <c r="F464" s="171" t="s">
        <v>1949</v>
      </c>
      <c r="G464" s="171" t="s">
        <v>240</v>
      </c>
    </row>
    <row r="465" customFormat="false" ht="15" hidden="false" customHeight="false" outlineLevel="0" collapsed="false">
      <c r="A465" s="171" t="s">
        <v>2747</v>
      </c>
      <c r="B465" s="171" t="s">
        <v>1288</v>
      </c>
      <c r="C465" s="171" t="s">
        <v>2748</v>
      </c>
      <c r="D465" s="171" t="s">
        <v>2749</v>
      </c>
      <c r="E465" s="171" t="s">
        <v>1291</v>
      </c>
      <c r="F465" s="171" t="s">
        <v>425</v>
      </c>
      <c r="G465" s="171" t="s">
        <v>295</v>
      </c>
    </row>
    <row r="466" customFormat="false" ht="15" hidden="false" customHeight="false" outlineLevel="0" collapsed="false">
      <c r="A466" s="171" t="s">
        <v>2750</v>
      </c>
      <c r="B466" s="171" t="s">
        <v>1288</v>
      </c>
      <c r="C466" s="171" t="s">
        <v>2751</v>
      </c>
      <c r="D466" s="171" t="s">
        <v>2752</v>
      </c>
      <c r="E466" s="171" t="s">
        <v>1291</v>
      </c>
      <c r="F466" s="171" t="s">
        <v>2753</v>
      </c>
      <c r="G466" s="171" t="s">
        <v>295</v>
      </c>
    </row>
    <row r="467" customFormat="false" ht="15" hidden="false" customHeight="false" outlineLevel="0" collapsed="false">
      <c r="A467" s="171" t="s">
        <v>2754</v>
      </c>
      <c r="B467" s="171" t="s">
        <v>1306</v>
      </c>
      <c r="C467" s="171" t="s">
        <v>2755</v>
      </c>
      <c r="D467" s="171" t="s">
        <v>2756</v>
      </c>
      <c r="E467" s="171" t="s">
        <v>1291</v>
      </c>
      <c r="F467" s="171" t="s">
        <v>577</v>
      </c>
      <c r="G467" s="171" t="s">
        <v>320</v>
      </c>
    </row>
    <row r="468" customFormat="false" ht="15" hidden="false" customHeight="false" outlineLevel="0" collapsed="false">
      <c r="A468" s="171" t="s">
        <v>2757</v>
      </c>
      <c r="B468" s="171" t="s">
        <v>1288</v>
      </c>
      <c r="C468" s="171" t="s">
        <v>2758</v>
      </c>
      <c r="D468" s="171" t="s">
        <v>2759</v>
      </c>
      <c r="E468" s="171" t="s">
        <v>1291</v>
      </c>
      <c r="F468" s="171" t="s">
        <v>2760</v>
      </c>
      <c r="G468" s="171" t="s">
        <v>677</v>
      </c>
    </row>
    <row r="469" customFormat="false" ht="15" hidden="false" customHeight="false" outlineLevel="0" collapsed="false">
      <c r="A469" s="171" t="s">
        <v>2761</v>
      </c>
      <c r="B469" s="171" t="s">
        <v>1288</v>
      </c>
      <c r="C469" s="171" t="s">
        <v>2762</v>
      </c>
      <c r="D469" s="171" t="s">
        <v>2763</v>
      </c>
      <c r="E469" s="171" t="s">
        <v>1291</v>
      </c>
      <c r="F469" s="171" t="s">
        <v>1597</v>
      </c>
      <c r="G469" s="171" t="s">
        <v>240</v>
      </c>
    </row>
    <row r="470" customFormat="false" ht="15" hidden="false" customHeight="false" outlineLevel="0" collapsed="false">
      <c r="A470" s="171" t="s">
        <v>2764</v>
      </c>
      <c r="B470" s="171" t="s">
        <v>1288</v>
      </c>
      <c r="C470" s="171" t="s">
        <v>2765</v>
      </c>
      <c r="D470" s="171" t="s">
        <v>2766</v>
      </c>
      <c r="E470" s="171" t="s">
        <v>1291</v>
      </c>
      <c r="F470" s="171" t="s">
        <v>1827</v>
      </c>
      <c r="G470" s="171" t="s">
        <v>173</v>
      </c>
    </row>
    <row r="471" customFormat="false" ht="15" hidden="false" customHeight="false" outlineLevel="0" collapsed="false">
      <c r="A471" s="171" t="s">
        <v>2767</v>
      </c>
      <c r="B471" s="171" t="s">
        <v>1288</v>
      </c>
      <c r="C471" s="171" t="s">
        <v>2768</v>
      </c>
      <c r="D471" s="171" t="s">
        <v>2769</v>
      </c>
      <c r="E471" s="171" t="s">
        <v>1291</v>
      </c>
      <c r="F471" s="171" t="s">
        <v>1657</v>
      </c>
      <c r="G471" s="171" t="s">
        <v>288</v>
      </c>
    </row>
    <row r="472" customFormat="false" ht="15" hidden="false" customHeight="false" outlineLevel="0" collapsed="false">
      <c r="A472" s="171" t="s">
        <v>2770</v>
      </c>
      <c r="B472" s="171" t="s">
        <v>1306</v>
      </c>
      <c r="C472" s="171" t="s">
        <v>2120</v>
      </c>
      <c r="D472" s="171" t="s">
        <v>2121</v>
      </c>
      <c r="E472" s="171" t="s">
        <v>1291</v>
      </c>
      <c r="F472" s="171" t="s">
        <v>796</v>
      </c>
      <c r="G472" s="171" t="s">
        <v>295</v>
      </c>
    </row>
    <row r="473" customFormat="false" ht="15" hidden="false" customHeight="false" outlineLevel="0" collapsed="false">
      <c r="A473" s="171" t="s">
        <v>2771</v>
      </c>
      <c r="B473" s="171" t="s">
        <v>1306</v>
      </c>
      <c r="C473" s="171" t="s">
        <v>2772</v>
      </c>
      <c r="D473" s="171" t="s">
        <v>2773</v>
      </c>
      <c r="E473" s="171" t="s">
        <v>1291</v>
      </c>
      <c r="F473" s="171" t="s">
        <v>747</v>
      </c>
      <c r="G473" s="171" t="s">
        <v>747</v>
      </c>
    </row>
    <row r="474" customFormat="false" ht="15" hidden="false" customHeight="false" outlineLevel="0" collapsed="false">
      <c r="A474" s="171" t="s">
        <v>2774</v>
      </c>
      <c r="B474" s="171" t="s">
        <v>1306</v>
      </c>
      <c r="C474" s="171" t="s">
        <v>1796</v>
      </c>
      <c r="D474" s="171" t="s">
        <v>1797</v>
      </c>
      <c r="E474" s="171" t="s">
        <v>1291</v>
      </c>
      <c r="F474" s="171" t="s">
        <v>1798</v>
      </c>
      <c r="G474" s="171" t="s">
        <v>295</v>
      </c>
    </row>
    <row r="475" customFormat="false" ht="15" hidden="false" customHeight="false" outlineLevel="0" collapsed="false">
      <c r="A475" s="171" t="s">
        <v>2775</v>
      </c>
      <c r="B475" s="171" t="s">
        <v>1306</v>
      </c>
      <c r="C475" s="171" t="s">
        <v>2776</v>
      </c>
      <c r="D475" s="171" t="s">
        <v>2777</v>
      </c>
      <c r="E475" s="171" t="s">
        <v>1291</v>
      </c>
      <c r="F475" s="171" t="s">
        <v>2778</v>
      </c>
      <c r="G475" s="171" t="s">
        <v>2779</v>
      </c>
    </row>
    <row r="476" customFormat="false" ht="15" hidden="false" customHeight="false" outlineLevel="0" collapsed="false">
      <c r="A476" s="171" t="s">
        <v>2780</v>
      </c>
      <c r="B476" s="171" t="s">
        <v>1288</v>
      </c>
      <c r="C476" s="171" t="s">
        <v>2781</v>
      </c>
      <c r="D476" s="171" t="s">
        <v>2782</v>
      </c>
      <c r="E476" s="171" t="s">
        <v>1291</v>
      </c>
      <c r="F476" s="171" t="s">
        <v>1384</v>
      </c>
      <c r="G476" s="171" t="s">
        <v>173</v>
      </c>
    </row>
    <row r="477" customFormat="false" ht="15" hidden="false" customHeight="false" outlineLevel="0" collapsed="false">
      <c r="A477" s="171" t="s">
        <v>2783</v>
      </c>
      <c r="B477" s="171" t="s">
        <v>1306</v>
      </c>
      <c r="C477" s="171" t="s">
        <v>2784</v>
      </c>
      <c r="D477" s="171" t="s">
        <v>2785</v>
      </c>
      <c r="E477" s="171" t="s">
        <v>1291</v>
      </c>
      <c r="F477" s="171" t="s">
        <v>2786</v>
      </c>
      <c r="G477" s="171" t="s">
        <v>1339</v>
      </c>
    </row>
    <row r="478" customFormat="false" ht="15" hidden="false" customHeight="false" outlineLevel="0" collapsed="false">
      <c r="A478" s="171" t="s">
        <v>2787</v>
      </c>
      <c r="B478" s="171" t="s">
        <v>1288</v>
      </c>
      <c r="C478" s="171" t="s">
        <v>2788</v>
      </c>
      <c r="D478" s="171" t="s">
        <v>2789</v>
      </c>
      <c r="E478" s="171" t="s">
        <v>1291</v>
      </c>
      <c r="F478" s="171" t="s">
        <v>1077</v>
      </c>
      <c r="G478" s="171" t="s">
        <v>240</v>
      </c>
    </row>
    <row r="479" customFormat="false" ht="15" hidden="false" customHeight="false" outlineLevel="0" collapsed="false">
      <c r="A479" s="171" t="s">
        <v>85</v>
      </c>
      <c r="B479" s="171" t="s">
        <v>1288</v>
      </c>
      <c r="C479" s="171" t="s">
        <v>2790</v>
      </c>
      <c r="D479" s="171" t="s">
        <v>1045</v>
      </c>
      <c r="E479" s="171" t="s">
        <v>1291</v>
      </c>
      <c r="F479" s="171" t="s">
        <v>320</v>
      </c>
      <c r="G479" s="171" t="s">
        <v>320</v>
      </c>
    </row>
    <row r="480" customFormat="false" ht="15" hidden="false" customHeight="false" outlineLevel="0" collapsed="false">
      <c r="A480" s="171" t="s">
        <v>2791</v>
      </c>
      <c r="B480" s="171" t="s">
        <v>1288</v>
      </c>
      <c r="C480" s="171" t="s">
        <v>2792</v>
      </c>
      <c r="D480" s="171" t="s">
        <v>744</v>
      </c>
      <c r="E480" s="171" t="s">
        <v>1291</v>
      </c>
      <c r="F480" s="171" t="s">
        <v>746</v>
      </c>
      <c r="G480" s="171" t="s">
        <v>747</v>
      </c>
    </row>
    <row r="481" customFormat="false" ht="15" hidden="false" customHeight="false" outlineLevel="0" collapsed="false">
      <c r="A481" s="171" t="s">
        <v>47</v>
      </c>
      <c r="B481" s="171" t="s">
        <v>1288</v>
      </c>
      <c r="C481" s="171" t="s">
        <v>2793</v>
      </c>
      <c r="D481" s="171" t="s">
        <v>827</v>
      </c>
      <c r="E481" s="171" t="s">
        <v>1291</v>
      </c>
      <c r="F481" s="171" t="s">
        <v>547</v>
      </c>
      <c r="G481" s="171" t="s">
        <v>295</v>
      </c>
    </row>
    <row r="482" customFormat="false" ht="15" hidden="false" customHeight="false" outlineLevel="0" collapsed="false">
      <c r="A482" s="171" t="s">
        <v>2794</v>
      </c>
      <c r="B482" s="171" t="s">
        <v>1306</v>
      </c>
      <c r="C482" s="171" t="s">
        <v>2795</v>
      </c>
      <c r="D482" s="171" t="s">
        <v>2796</v>
      </c>
      <c r="E482" s="171" t="s">
        <v>1291</v>
      </c>
      <c r="F482" s="171" t="s">
        <v>2246</v>
      </c>
      <c r="G482" s="171" t="s">
        <v>295</v>
      </c>
    </row>
    <row r="483" customFormat="false" ht="15" hidden="false" customHeight="false" outlineLevel="0" collapsed="false">
      <c r="A483" s="171" t="s">
        <v>43</v>
      </c>
      <c r="B483" s="171" t="s">
        <v>1288</v>
      </c>
      <c r="C483" s="171" t="s">
        <v>2792</v>
      </c>
      <c r="D483" s="171" t="s">
        <v>744</v>
      </c>
      <c r="E483" s="171" t="s">
        <v>1291</v>
      </c>
      <c r="F483" s="171" t="s">
        <v>746</v>
      </c>
      <c r="G483" s="171" t="s">
        <v>747</v>
      </c>
    </row>
    <row r="484" customFormat="false" ht="15" hidden="false" customHeight="false" outlineLevel="0" collapsed="false">
      <c r="A484" s="171" t="s">
        <v>2797</v>
      </c>
      <c r="B484" s="171" t="s">
        <v>1288</v>
      </c>
      <c r="C484" s="171" t="s">
        <v>2798</v>
      </c>
      <c r="D484" s="171" t="s">
        <v>2799</v>
      </c>
      <c r="E484" s="171" t="s">
        <v>1291</v>
      </c>
      <c r="F484" s="171" t="s">
        <v>2176</v>
      </c>
      <c r="G484" s="171" t="s">
        <v>1088</v>
      </c>
    </row>
    <row r="485" customFormat="false" ht="15" hidden="false" customHeight="false" outlineLevel="0" collapsed="false">
      <c r="A485" s="171" t="s">
        <v>2800</v>
      </c>
      <c r="B485" s="171" t="s">
        <v>1288</v>
      </c>
      <c r="C485" s="171" t="s">
        <v>2801</v>
      </c>
      <c r="D485" s="171" t="s">
        <v>2802</v>
      </c>
      <c r="E485" s="171" t="s">
        <v>1291</v>
      </c>
      <c r="F485" s="171" t="s">
        <v>2803</v>
      </c>
      <c r="G485" s="171" t="s">
        <v>320</v>
      </c>
    </row>
    <row r="486" customFormat="false" ht="15" hidden="false" customHeight="false" outlineLevel="0" collapsed="false">
      <c r="A486" s="171" t="s">
        <v>2804</v>
      </c>
      <c r="B486" s="171" t="s">
        <v>1306</v>
      </c>
      <c r="C486" s="171" t="s">
        <v>2805</v>
      </c>
      <c r="D486" s="171" t="s">
        <v>2806</v>
      </c>
      <c r="E486" s="171" t="s">
        <v>1291</v>
      </c>
      <c r="F486" s="171" t="s">
        <v>1242</v>
      </c>
      <c r="G486" s="171" t="s">
        <v>1088</v>
      </c>
    </row>
    <row r="487" customFormat="false" ht="15" hidden="false" customHeight="false" outlineLevel="0" collapsed="false">
      <c r="A487" s="171" t="s">
        <v>2807</v>
      </c>
      <c r="B487" s="171" t="s">
        <v>1288</v>
      </c>
      <c r="C487" s="171" t="s">
        <v>2808</v>
      </c>
      <c r="D487" s="171" t="s">
        <v>2809</v>
      </c>
      <c r="E487" s="171" t="s">
        <v>1291</v>
      </c>
      <c r="F487" s="171" t="s">
        <v>1562</v>
      </c>
      <c r="G487" s="171" t="s">
        <v>260</v>
      </c>
    </row>
    <row r="488" customFormat="false" ht="15" hidden="false" customHeight="false" outlineLevel="0" collapsed="false">
      <c r="A488" s="171" t="s">
        <v>2810</v>
      </c>
      <c r="B488" s="171" t="s">
        <v>1288</v>
      </c>
      <c r="C488" s="171" t="s">
        <v>2811</v>
      </c>
      <c r="D488" s="171" t="s">
        <v>2812</v>
      </c>
      <c r="E488" s="171" t="s">
        <v>1291</v>
      </c>
      <c r="F488" s="171" t="s">
        <v>227</v>
      </c>
      <c r="G488" s="171" t="s">
        <v>234</v>
      </c>
    </row>
    <row r="489" customFormat="false" ht="15" hidden="false" customHeight="false" outlineLevel="0" collapsed="false">
      <c r="A489" s="171" t="s">
        <v>2813</v>
      </c>
      <c r="B489" s="171" t="s">
        <v>1288</v>
      </c>
      <c r="C489" s="171" t="s">
        <v>1707</v>
      </c>
      <c r="D489" s="171" t="s">
        <v>2814</v>
      </c>
      <c r="E489" s="171" t="s">
        <v>1291</v>
      </c>
      <c r="F489" s="171" t="s">
        <v>1798</v>
      </c>
      <c r="G489" s="171" t="s">
        <v>295</v>
      </c>
    </row>
    <row r="490" customFormat="false" ht="15" hidden="false" customHeight="false" outlineLevel="0" collapsed="false">
      <c r="A490" s="171" t="s">
        <v>2815</v>
      </c>
      <c r="B490" s="171" t="s">
        <v>1306</v>
      </c>
      <c r="C490" s="171" t="s">
        <v>1796</v>
      </c>
      <c r="D490" s="171" t="s">
        <v>1797</v>
      </c>
      <c r="E490" s="171" t="s">
        <v>1291</v>
      </c>
      <c r="F490" s="171" t="s">
        <v>1798</v>
      </c>
      <c r="G490" s="171" t="s">
        <v>295</v>
      </c>
    </row>
    <row r="491" customFormat="false" ht="15" hidden="false" customHeight="false" outlineLevel="0" collapsed="false">
      <c r="A491" s="171" t="s">
        <v>2816</v>
      </c>
      <c r="B491" s="171" t="s">
        <v>1288</v>
      </c>
      <c r="C491" s="171" t="s">
        <v>2817</v>
      </c>
      <c r="D491" s="171" t="s">
        <v>2818</v>
      </c>
      <c r="E491" s="171" t="s">
        <v>1291</v>
      </c>
      <c r="F491" s="171" t="s">
        <v>395</v>
      </c>
      <c r="G491" s="171" t="s">
        <v>710</v>
      </c>
    </row>
    <row r="492" customFormat="false" ht="15" hidden="false" customHeight="false" outlineLevel="0" collapsed="false">
      <c r="A492" s="171" t="s">
        <v>2819</v>
      </c>
      <c r="B492" s="171" t="s">
        <v>1306</v>
      </c>
      <c r="C492" s="171" t="s">
        <v>2062</v>
      </c>
      <c r="D492" s="171" t="s">
        <v>2820</v>
      </c>
      <c r="E492" s="171" t="s">
        <v>1291</v>
      </c>
      <c r="F492" s="171" t="s">
        <v>895</v>
      </c>
      <c r="G492" s="171" t="s">
        <v>240</v>
      </c>
    </row>
    <row r="493" customFormat="false" ht="15" hidden="false" customHeight="false" outlineLevel="0" collapsed="false">
      <c r="A493" s="171" t="s">
        <v>942</v>
      </c>
      <c r="B493" s="171" t="s">
        <v>1288</v>
      </c>
      <c r="C493" s="171" t="s">
        <v>2821</v>
      </c>
      <c r="D493" s="171" t="s">
        <v>944</v>
      </c>
      <c r="E493" s="171" t="s">
        <v>1291</v>
      </c>
      <c r="F493" s="171" t="s">
        <v>946</v>
      </c>
      <c r="G493" s="171" t="s">
        <v>710</v>
      </c>
    </row>
    <row r="494" customFormat="false" ht="15" hidden="false" customHeight="false" outlineLevel="0" collapsed="false">
      <c r="A494" s="171" t="s">
        <v>2822</v>
      </c>
      <c r="B494" s="171" t="s">
        <v>1306</v>
      </c>
      <c r="C494" s="171" t="s">
        <v>2823</v>
      </c>
      <c r="D494" s="171" t="s">
        <v>2824</v>
      </c>
      <c r="E494" s="171" t="s">
        <v>1291</v>
      </c>
      <c r="F494" s="171" t="s">
        <v>2292</v>
      </c>
      <c r="G494" s="171" t="s">
        <v>2293</v>
      </c>
    </row>
    <row r="495" customFormat="false" ht="15" hidden="false" customHeight="false" outlineLevel="0" collapsed="false">
      <c r="A495" s="171" t="s">
        <v>2825</v>
      </c>
      <c r="B495" s="171" t="s">
        <v>1306</v>
      </c>
      <c r="C495" s="171" t="s">
        <v>2826</v>
      </c>
      <c r="D495" s="171" t="s">
        <v>2827</v>
      </c>
      <c r="E495" s="171" t="s">
        <v>1291</v>
      </c>
      <c r="F495" s="171" t="s">
        <v>1699</v>
      </c>
      <c r="G495" s="171" t="s">
        <v>839</v>
      </c>
    </row>
    <row r="496" customFormat="false" ht="15" hidden="false" customHeight="false" outlineLevel="0" collapsed="false">
      <c r="A496" s="171" t="s">
        <v>2828</v>
      </c>
      <c r="B496" s="171" t="s">
        <v>1288</v>
      </c>
      <c r="C496" s="171" t="s">
        <v>2829</v>
      </c>
      <c r="D496" s="171" t="s">
        <v>2830</v>
      </c>
      <c r="E496" s="171" t="s">
        <v>1291</v>
      </c>
      <c r="F496" s="171" t="s">
        <v>2831</v>
      </c>
      <c r="G496" s="171" t="s">
        <v>952</v>
      </c>
    </row>
    <row r="497" customFormat="false" ht="15" hidden="false" customHeight="false" outlineLevel="0" collapsed="false">
      <c r="A497" s="171" t="s">
        <v>141</v>
      </c>
      <c r="B497" s="171" t="s">
        <v>1288</v>
      </c>
      <c r="C497" s="171" t="s">
        <v>2832</v>
      </c>
      <c r="D497" s="171" t="s">
        <v>2833</v>
      </c>
      <c r="E497" s="171" t="s">
        <v>1291</v>
      </c>
      <c r="F497" s="171" t="s">
        <v>1929</v>
      </c>
      <c r="G497" s="171" t="s">
        <v>437</v>
      </c>
    </row>
    <row r="498" customFormat="false" ht="15" hidden="false" customHeight="false" outlineLevel="0" collapsed="false">
      <c r="A498" s="171" t="s">
        <v>2834</v>
      </c>
      <c r="B498" s="171" t="s">
        <v>1288</v>
      </c>
      <c r="C498" s="171" t="s">
        <v>2835</v>
      </c>
      <c r="D498" s="171" t="s">
        <v>2836</v>
      </c>
      <c r="E498" s="171" t="s">
        <v>1291</v>
      </c>
      <c r="F498" s="171" t="s">
        <v>1450</v>
      </c>
      <c r="G498" s="171" t="s">
        <v>274</v>
      </c>
    </row>
    <row r="499" customFormat="false" ht="15" hidden="false" customHeight="false" outlineLevel="0" collapsed="false">
      <c r="A499" s="171" t="s">
        <v>2837</v>
      </c>
      <c r="B499" s="171" t="s">
        <v>1306</v>
      </c>
      <c r="C499" s="171" t="s">
        <v>2838</v>
      </c>
      <c r="D499" s="171" t="s">
        <v>2839</v>
      </c>
      <c r="E499" s="171" t="s">
        <v>1291</v>
      </c>
      <c r="F499" s="171" t="s">
        <v>1718</v>
      </c>
      <c r="G499" s="171" t="s">
        <v>642</v>
      </c>
    </row>
    <row r="500" customFormat="false" ht="15" hidden="false" customHeight="false" outlineLevel="0" collapsed="false">
      <c r="A500" s="171" t="s">
        <v>119</v>
      </c>
      <c r="B500" s="171" t="s">
        <v>1288</v>
      </c>
      <c r="C500" s="171" t="s">
        <v>2840</v>
      </c>
      <c r="D500" s="171" t="s">
        <v>1138</v>
      </c>
      <c r="E500" s="171" t="s">
        <v>1291</v>
      </c>
      <c r="F500" s="171" t="s">
        <v>1140</v>
      </c>
      <c r="G500" s="171" t="s">
        <v>1102</v>
      </c>
    </row>
    <row r="501" customFormat="false" ht="15" hidden="false" customHeight="false" outlineLevel="0" collapsed="false">
      <c r="A501" s="171" t="s">
        <v>2841</v>
      </c>
      <c r="B501" s="171" t="s">
        <v>1306</v>
      </c>
      <c r="C501" s="171" t="s">
        <v>2842</v>
      </c>
      <c r="D501" s="171" t="s">
        <v>2843</v>
      </c>
      <c r="E501" s="171" t="s">
        <v>1291</v>
      </c>
      <c r="F501" s="171" t="s">
        <v>1035</v>
      </c>
      <c r="G501" s="171" t="s">
        <v>677</v>
      </c>
    </row>
    <row r="502" customFormat="false" ht="15" hidden="false" customHeight="false" outlineLevel="0" collapsed="false">
      <c r="A502" s="171" t="s">
        <v>2844</v>
      </c>
      <c r="B502" s="171" t="s">
        <v>1306</v>
      </c>
      <c r="C502" s="171" t="s">
        <v>2845</v>
      </c>
      <c r="D502" s="171" t="s">
        <v>2846</v>
      </c>
      <c r="E502" s="171" t="s">
        <v>1291</v>
      </c>
      <c r="F502" s="171" t="s">
        <v>2847</v>
      </c>
      <c r="G502" s="171" t="s">
        <v>2848</v>
      </c>
    </row>
    <row r="503" customFormat="false" ht="15" hidden="false" customHeight="false" outlineLevel="0" collapsed="false">
      <c r="A503" s="171" t="s">
        <v>2849</v>
      </c>
      <c r="B503" s="171" t="s">
        <v>1306</v>
      </c>
      <c r="C503" s="171" t="s">
        <v>2850</v>
      </c>
      <c r="D503" s="171" t="s">
        <v>2851</v>
      </c>
      <c r="E503" s="171" t="s">
        <v>1291</v>
      </c>
      <c r="F503" s="171" t="s">
        <v>2852</v>
      </c>
      <c r="G503" s="171" t="s">
        <v>2293</v>
      </c>
    </row>
    <row r="504" customFormat="false" ht="15" hidden="false" customHeight="false" outlineLevel="0" collapsed="false">
      <c r="A504" s="171" t="s">
        <v>2853</v>
      </c>
      <c r="B504" s="171" t="s">
        <v>1288</v>
      </c>
      <c r="C504" s="171" t="s">
        <v>2854</v>
      </c>
      <c r="D504" s="171" t="s">
        <v>2855</v>
      </c>
      <c r="E504" s="171" t="s">
        <v>1291</v>
      </c>
      <c r="F504" s="171" t="s">
        <v>465</v>
      </c>
      <c r="G504" s="171" t="s">
        <v>437</v>
      </c>
    </row>
    <row r="505" customFormat="false" ht="15" hidden="false" customHeight="false" outlineLevel="0" collapsed="false">
      <c r="A505" s="171" t="s">
        <v>2856</v>
      </c>
      <c r="B505" s="171" t="s">
        <v>1288</v>
      </c>
      <c r="C505" s="171" t="s">
        <v>2857</v>
      </c>
      <c r="D505" s="171" t="s">
        <v>2858</v>
      </c>
      <c r="E505" s="171" t="s">
        <v>1291</v>
      </c>
      <c r="F505" s="171" t="s">
        <v>465</v>
      </c>
      <c r="G505" s="171" t="s">
        <v>437</v>
      </c>
    </row>
    <row r="506" customFormat="false" ht="15" hidden="false" customHeight="false" outlineLevel="0" collapsed="false">
      <c r="A506" s="171" t="s">
        <v>2859</v>
      </c>
      <c r="B506" s="171" t="s">
        <v>1306</v>
      </c>
      <c r="C506" s="171" t="s">
        <v>2860</v>
      </c>
      <c r="D506" s="171" t="s">
        <v>2861</v>
      </c>
      <c r="E506" s="171" t="s">
        <v>1291</v>
      </c>
      <c r="F506" s="171" t="s">
        <v>2596</v>
      </c>
      <c r="G506" s="171" t="s">
        <v>1344</v>
      </c>
    </row>
    <row r="507" customFormat="false" ht="15" hidden="false" customHeight="false" outlineLevel="0" collapsed="false">
      <c r="A507" s="171" t="s">
        <v>2862</v>
      </c>
      <c r="B507" s="171" t="s">
        <v>1288</v>
      </c>
      <c r="C507" s="171" t="s">
        <v>1861</v>
      </c>
      <c r="D507" s="171" t="s">
        <v>1862</v>
      </c>
      <c r="E507" s="171" t="s">
        <v>1291</v>
      </c>
      <c r="F507" s="171" t="s">
        <v>412</v>
      </c>
      <c r="G507" s="171" t="s">
        <v>320</v>
      </c>
    </row>
    <row r="508" customFormat="false" ht="15" hidden="false" customHeight="false" outlineLevel="0" collapsed="false">
      <c r="A508" s="171" t="s">
        <v>2863</v>
      </c>
      <c r="B508" s="171" t="s">
        <v>1288</v>
      </c>
      <c r="C508" s="171" t="s">
        <v>2864</v>
      </c>
      <c r="D508" s="171" t="s">
        <v>2865</v>
      </c>
      <c r="E508" s="171" t="s">
        <v>1291</v>
      </c>
      <c r="F508" s="171" t="s">
        <v>2102</v>
      </c>
      <c r="G508" s="171" t="s">
        <v>288</v>
      </c>
    </row>
    <row r="509" customFormat="false" ht="15" hidden="false" customHeight="false" outlineLevel="0" collapsed="false">
      <c r="A509" s="171" t="s">
        <v>2866</v>
      </c>
      <c r="B509" s="171" t="s">
        <v>1288</v>
      </c>
      <c r="C509" s="171" t="s">
        <v>2867</v>
      </c>
      <c r="D509" s="171" t="s">
        <v>2868</v>
      </c>
      <c r="E509" s="171" t="s">
        <v>1291</v>
      </c>
      <c r="F509" s="171" t="s">
        <v>865</v>
      </c>
      <c r="G509" s="171" t="s">
        <v>240</v>
      </c>
    </row>
    <row r="510" customFormat="false" ht="15" hidden="false" customHeight="false" outlineLevel="0" collapsed="false">
      <c r="A510" s="171" t="s">
        <v>2869</v>
      </c>
      <c r="B510" s="171" t="s">
        <v>1288</v>
      </c>
      <c r="C510" s="171" t="s">
        <v>2870</v>
      </c>
      <c r="D510" s="171" t="s">
        <v>2871</v>
      </c>
      <c r="E510" s="171" t="s">
        <v>1291</v>
      </c>
      <c r="F510" s="171" t="s">
        <v>2872</v>
      </c>
      <c r="G510" s="171" t="s">
        <v>1102</v>
      </c>
    </row>
    <row r="511" customFormat="false" ht="15" hidden="false" customHeight="false" outlineLevel="0" collapsed="false">
      <c r="A511" s="171" t="s">
        <v>2873</v>
      </c>
      <c r="B511" s="171" t="s">
        <v>1306</v>
      </c>
      <c r="C511" s="171" t="s">
        <v>2874</v>
      </c>
      <c r="D511" s="171" t="s">
        <v>2875</v>
      </c>
      <c r="E511" s="171" t="s">
        <v>1291</v>
      </c>
      <c r="F511" s="171" t="s">
        <v>465</v>
      </c>
      <c r="G511" s="171" t="s">
        <v>437</v>
      </c>
    </row>
    <row r="512" customFormat="false" ht="15" hidden="false" customHeight="false" outlineLevel="0" collapsed="false">
      <c r="A512" s="171" t="s">
        <v>105</v>
      </c>
      <c r="B512" s="171" t="s">
        <v>1288</v>
      </c>
      <c r="C512" s="171" t="s">
        <v>2876</v>
      </c>
      <c r="D512" s="171" t="s">
        <v>2877</v>
      </c>
      <c r="E512" s="171" t="s">
        <v>1291</v>
      </c>
      <c r="F512" s="171" t="s">
        <v>1223</v>
      </c>
      <c r="G512" s="171" t="s">
        <v>281</v>
      </c>
    </row>
    <row r="513" customFormat="false" ht="15" hidden="false" customHeight="false" outlineLevel="0" collapsed="false">
      <c r="A513" s="171" t="s">
        <v>2878</v>
      </c>
      <c r="B513" s="171" t="s">
        <v>1288</v>
      </c>
      <c r="C513" s="171" t="s">
        <v>2879</v>
      </c>
      <c r="D513" s="171" t="s">
        <v>2880</v>
      </c>
      <c r="E513" s="171" t="s">
        <v>1291</v>
      </c>
      <c r="F513" s="171" t="s">
        <v>1334</v>
      </c>
      <c r="G513" s="171" t="s">
        <v>1102</v>
      </c>
    </row>
    <row r="514" customFormat="false" ht="15" hidden="false" customHeight="false" outlineLevel="0" collapsed="false">
      <c r="A514" s="171" t="s">
        <v>2881</v>
      </c>
      <c r="B514" s="171" t="s">
        <v>1288</v>
      </c>
      <c r="C514" s="171" t="s">
        <v>1633</v>
      </c>
      <c r="D514" s="171" t="s">
        <v>1634</v>
      </c>
      <c r="E514" s="171" t="s">
        <v>1291</v>
      </c>
      <c r="F514" s="171" t="s">
        <v>641</v>
      </c>
      <c r="G514" s="171" t="s">
        <v>642</v>
      </c>
    </row>
    <row r="515" customFormat="false" ht="15" hidden="false" customHeight="false" outlineLevel="0" collapsed="false">
      <c r="A515" s="171" t="s">
        <v>2882</v>
      </c>
      <c r="B515" s="171" t="s">
        <v>1288</v>
      </c>
      <c r="C515" s="171" t="s">
        <v>2883</v>
      </c>
      <c r="D515" s="171" t="s">
        <v>2884</v>
      </c>
      <c r="E515" s="171" t="s">
        <v>1291</v>
      </c>
      <c r="F515" s="171" t="s">
        <v>1593</v>
      </c>
      <c r="G515" s="171" t="s">
        <v>288</v>
      </c>
    </row>
    <row r="516" customFormat="false" ht="15" hidden="false" customHeight="false" outlineLevel="0" collapsed="false">
      <c r="A516" s="171" t="s">
        <v>2885</v>
      </c>
      <c r="B516" s="171" t="s">
        <v>1288</v>
      </c>
      <c r="C516" s="171" t="s">
        <v>2886</v>
      </c>
      <c r="D516" s="171" t="s">
        <v>2887</v>
      </c>
      <c r="E516" s="171" t="s">
        <v>1291</v>
      </c>
      <c r="F516" s="171" t="s">
        <v>425</v>
      </c>
      <c r="G516" s="171" t="s">
        <v>295</v>
      </c>
    </row>
    <row r="517" customFormat="false" ht="15" hidden="false" customHeight="false" outlineLevel="0" collapsed="false">
      <c r="A517" s="171" t="s">
        <v>2888</v>
      </c>
      <c r="B517" s="171" t="s">
        <v>1306</v>
      </c>
      <c r="C517" s="171" t="s">
        <v>2889</v>
      </c>
      <c r="D517" s="171" t="s">
        <v>2890</v>
      </c>
      <c r="E517" s="171" t="s">
        <v>1291</v>
      </c>
      <c r="F517" s="171" t="s">
        <v>2596</v>
      </c>
      <c r="G517" s="171" t="s">
        <v>1344</v>
      </c>
    </row>
    <row r="518" customFormat="false" ht="15" hidden="false" customHeight="false" outlineLevel="0" collapsed="false">
      <c r="A518" s="171" t="s">
        <v>79</v>
      </c>
      <c r="B518" s="171" t="s">
        <v>1288</v>
      </c>
      <c r="C518" s="171" t="s">
        <v>2891</v>
      </c>
      <c r="D518" s="171" t="s">
        <v>979</v>
      </c>
      <c r="E518" s="171" t="s">
        <v>1291</v>
      </c>
      <c r="F518" s="171" t="s">
        <v>615</v>
      </c>
      <c r="G518" s="171" t="s">
        <v>274</v>
      </c>
    </row>
    <row r="519" customFormat="false" ht="15" hidden="false" customHeight="false" outlineLevel="0" collapsed="false">
      <c r="A519" s="171" t="s">
        <v>2892</v>
      </c>
      <c r="B519" s="171" t="s">
        <v>1288</v>
      </c>
      <c r="C519" s="171" t="s">
        <v>2893</v>
      </c>
      <c r="D519" s="171" t="s">
        <v>2894</v>
      </c>
      <c r="E519" s="171" t="s">
        <v>1291</v>
      </c>
      <c r="F519" s="171" t="s">
        <v>447</v>
      </c>
      <c r="G519" s="171" t="s">
        <v>677</v>
      </c>
    </row>
    <row r="520" customFormat="false" ht="15" hidden="false" customHeight="false" outlineLevel="0" collapsed="false">
      <c r="A520" s="171" t="s">
        <v>2895</v>
      </c>
      <c r="B520" s="171" t="s">
        <v>1306</v>
      </c>
      <c r="C520" s="171" t="s">
        <v>2062</v>
      </c>
      <c r="D520" s="171" t="s">
        <v>2896</v>
      </c>
      <c r="E520" s="171" t="s">
        <v>1291</v>
      </c>
      <c r="F520" s="171" t="s">
        <v>2897</v>
      </c>
      <c r="G520" s="171" t="s">
        <v>1088</v>
      </c>
    </row>
    <row r="521" customFormat="false" ht="15" hidden="false" customHeight="false" outlineLevel="0" collapsed="false">
      <c r="A521" s="171" t="s">
        <v>588</v>
      </c>
      <c r="B521" s="171" t="s">
        <v>1288</v>
      </c>
      <c r="C521" s="171" t="s">
        <v>2898</v>
      </c>
      <c r="D521" s="171" t="s">
        <v>2899</v>
      </c>
      <c r="E521" s="171" t="s">
        <v>1291</v>
      </c>
      <c r="F521" s="171" t="s">
        <v>838</v>
      </c>
      <c r="G521" s="171" t="s">
        <v>839</v>
      </c>
    </row>
    <row r="522" customFormat="false" ht="15" hidden="false" customHeight="false" outlineLevel="0" collapsed="false">
      <c r="A522" s="171" t="s">
        <v>2900</v>
      </c>
      <c r="B522" s="171" t="s">
        <v>1288</v>
      </c>
      <c r="C522" s="171" t="s">
        <v>2901</v>
      </c>
      <c r="D522" s="171" t="s">
        <v>2902</v>
      </c>
      <c r="E522" s="171" t="s">
        <v>1291</v>
      </c>
      <c r="F522" s="171" t="s">
        <v>1929</v>
      </c>
      <c r="G522" s="171" t="s">
        <v>437</v>
      </c>
    </row>
    <row r="523" customFormat="false" ht="15" hidden="false" customHeight="false" outlineLevel="0" collapsed="false">
      <c r="A523" s="171" t="s">
        <v>2903</v>
      </c>
      <c r="B523" s="171" t="s">
        <v>1306</v>
      </c>
      <c r="C523" s="171" t="s">
        <v>2904</v>
      </c>
      <c r="D523" s="171" t="s">
        <v>2905</v>
      </c>
      <c r="E523" s="171" t="s">
        <v>1291</v>
      </c>
      <c r="F523" s="171" t="s">
        <v>1384</v>
      </c>
      <c r="G523" s="171" t="s">
        <v>173</v>
      </c>
    </row>
    <row r="524" customFormat="false" ht="15" hidden="false" customHeight="false" outlineLevel="0" collapsed="false">
      <c r="A524" s="171" t="s">
        <v>2906</v>
      </c>
      <c r="B524" s="171" t="s">
        <v>1288</v>
      </c>
      <c r="C524" s="171" t="s">
        <v>2907</v>
      </c>
      <c r="D524" s="171" t="s">
        <v>2908</v>
      </c>
      <c r="E524" s="171" t="s">
        <v>1291</v>
      </c>
      <c r="F524" s="171" t="s">
        <v>2909</v>
      </c>
      <c r="G524" s="171" t="s">
        <v>642</v>
      </c>
    </row>
    <row r="525" customFormat="false" ht="15" hidden="false" customHeight="false" outlineLevel="0" collapsed="false">
      <c r="A525" s="171" t="s">
        <v>2910</v>
      </c>
      <c r="B525" s="171" t="s">
        <v>1288</v>
      </c>
      <c r="C525" s="171" t="s">
        <v>2406</v>
      </c>
      <c r="D525" s="171" t="s">
        <v>2407</v>
      </c>
      <c r="E525" s="171" t="s">
        <v>1291</v>
      </c>
      <c r="F525" s="171" t="s">
        <v>1806</v>
      </c>
      <c r="G525" s="171" t="s">
        <v>710</v>
      </c>
    </row>
    <row r="526" customFormat="false" ht="15" hidden="false" customHeight="false" outlineLevel="0" collapsed="false">
      <c r="A526" s="171" t="s">
        <v>2911</v>
      </c>
      <c r="B526" s="171" t="s">
        <v>1306</v>
      </c>
      <c r="C526" s="171" t="s">
        <v>2912</v>
      </c>
      <c r="D526" s="171" t="s">
        <v>2913</v>
      </c>
      <c r="E526" s="171" t="s">
        <v>1291</v>
      </c>
      <c r="F526" s="171" t="s">
        <v>2914</v>
      </c>
      <c r="G526" s="171" t="s">
        <v>1102</v>
      </c>
    </row>
    <row r="527" customFormat="false" ht="15" hidden="false" customHeight="false" outlineLevel="0" collapsed="false">
      <c r="A527" s="171" t="s">
        <v>2915</v>
      </c>
      <c r="B527" s="171" t="s">
        <v>1288</v>
      </c>
      <c r="C527" s="171" t="s">
        <v>2916</v>
      </c>
      <c r="D527" s="171" t="s">
        <v>2917</v>
      </c>
      <c r="E527" s="171" t="s">
        <v>1291</v>
      </c>
      <c r="F527" s="171" t="s">
        <v>1798</v>
      </c>
      <c r="G527" s="171" t="s">
        <v>295</v>
      </c>
    </row>
    <row r="528" customFormat="false" ht="15" hidden="false" customHeight="false" outlineLevel="0" collapsed="false">
      <c r="A528" s="171" t="s">
        <v>2918</v>
      </c>
      <c r="B528" s="171" t="s">
        <v>1288</v>
      </c>
      <c r="C528" s="171" t="s">
        <v>2919</v>
      </c>
      <c r="D528" s="171" t="s">
        <v>2920</v>
      </c>
      <c r="E528" s="171" t="s">
        <v>1291</v>
      </c>
      <c r="F528" s="171" t="s">
        <v>2921</v>
      </c>
      <c r="G528" s="171" t="s">
        <v>747</v>
      </c>
    </row>
    <row r="529" customFormat="false" ht="15" hidden="false" customHeight="false" outlineLevel="0" collapsed="false">
      <c r="A529" s="171" t="s">
        <v>2922</v>
      </c>
      <c r="B529" s="171" t="s">
        <v>1306</v>
      </c>
      <c r="C529" s="171" t="s">
        <v>2923</v>
      </c>
      <c r="D529" s="171" t="s">
        <v>2924</v>
      </c>
      <c r="E529" s="171" t="s">
        <v>1291</v>
      </c>
      <c r="F529" s="171" t="s">
        <v>2246</v>
      </c>
      <c r="G529" s="171" t="s">
        <v>295</v>
      </c>
    </row>
    <row r="530" customFormat="false" ht="15" hidden="false" customHeight="false" outlineLevel="0" collapsed="false">
      <c r="A530" s="171" t="s">
        <v>2925</v>
      </c>
      <c r="B530" s="171" t="s">
        <v>1306</v>
      </c>
      <c r="C530" s="171" t="s">
        <v>2926</v>
      </c>
      <c r="D530" s="171" t="s">
        <v>2927</v>
      </c>
      <c r="E530" s="171" t="s">
        <v>1291</v>
      </c>
      <c r="F530" s="171" t="s">
        <v>1853</v>
      </c>
      <c r="G530" s="171" t="s">
        <v>839</v>
      </c>
    </row>
    <row r="531" customFormat="false" ht="15" hidden="false" customHeight="false" outlineLevel="0" collapsed="false">
      <c r="A531" s="171" t="s">
        <v>2928</v>
      </c>
      <c r="B531" s="171" t="s">
        <v>1288</v>
      </c>
      <c r="C531" s="171" t="s">
        <v>2455</v>
      </c>
      <c r="D531" s="171" t="s">
        <v>2456</v>
      </c>
      <c r="E531" s="171" t="s">
        <v>1291</v>
      </c>
      <c r="F531" s="171" t="s">
        <v>746</v>
      </c>
      <c r="G531" s="171" t="s">
        <v>747</v>
      </c>
    </row>
    <row r="532" customFormat="false" ht="15" hidden="false" customHeight="false" outlineLevel="0" collapsed="false">
      <c r="A532" s="171" t="s">
        <v>2929</v>
      </c>
      <c r="B532" s="171" t="s">
        <v>1288</v>
      </c>
      <c r="C532" s="171" t="s">
        <v>2930</v>
      </c>
      <c r="D532" s="171" t="s">
        <v>2931</v>
      </c>
      <c r="E532" s="171" t="s">
        <v>1291</v>
      </c>
      <c r="F532" s="171" t="s">
        <v>2932</v>
      </c>
      <c r="G532" s="171" t="s">
        <v>710</v>
      </c>
    </row>
    <row r="533" customFormat="false" ht="15" hidden="false" customHeight="false" outlineLevel="0" collapsed="false">
      <c r="A533" s="171" t="s">
        <v>1154</v>
      </c>
      <c r="B533" s="171" t="s">
        <v>1288</v>
      </c>
      <c r="C533" s="171" t="s">
        <v>2933</v>
      </c>
      <c r="D533" s="171" t="s">
        <v>1156</v>
      </c>
      <c r="E533" s="171" t="s">
        <v>1291</v>
      </c>
      <c r="F533" s="171" t="s">
        <v>1157</v>
      </c>
      <c r="G533" s="171" t="s">
        <v>1102</v>
      </c>
    </row>
    <row r="534" customFormat="false" ht="15" hidden="false" customHeight="false" outlineLevel="0" collapsed="false">
      <c r="A534" s="171" t="s">
        <v>45</v>
      </c>
      <c r="B534" s="171" t="s">
        <v>1288</v>
      </c>
      <c r="C534" s="171" t="s">
        <v>2934</v>
      </c>
      <c r="D534" s="171" t="s">
        <v>783</v>
      </c>
      <c r="E534" s="171" t="s">
        <v>1291</v>
      </c>
      <c r="F534" s="171" t="s">
        <v>785</v>
      </c>
      <c r="G534" s="171" t="s">
        <v>295</v>
      </c>
    </row>
    <row r="535" customFormat="false" ht="15" hidden="false" customHeight="false" outlineLevel="0" collapsed="false">
      <c r="A535" s="171" t="s">
        <v>2935</v>
      </c>
      <c r="B535" s="171" t="s">
        <v>1306</v>
      </c>
      <c r="C535" s="171" t="s">
        <v>2936</v>
      </c>
      <c r="D535" s="171" t="s">
        <v>2937</v>
      </c>
      <c r="E535" s="171" t="s">
        <v>1291</v>
      </c>
      <c r="F535" s="171" t="s">
        <v>1877</v>
      </c>
      <c r="G535" s="171" t="s">
        <v>1574</v>
      </c>
    </row>
    <row r="536" customFormat="false" ht="15" hidden="false" customHeight="false" outlineLevel="0" collapsed="false">
      <c r="A536" s="171" t="s">
        <v>107</v>
      </c>
      <c r="B536" s="171" t="s">
        <v>1288</v>
      </c>
      <c r="C536" s="171" t="s">
        <v>2938</v>
      </c>
      <c r="D536" s="171" t="s">
        <v>1118</v>
      </c>
      <c r="E536" s="171" t="s">
        <v>1291</v>
      </c>
      <c r="F536" s="171" t="s">
        <v>1035</v>
      </c>
      <c r="G536" s="171" t="s">
        <v>677</v>
      </c>
    </row>
    <row r="537" customFormat="false" ht="15" hidden="false" customHeight="false" outlineLevel="0" collapsed="false">
      <c r="A537" s="171" t="s">
        <v>2939</v>
      </c>
      <c r="B537" s="171" t="s">
        <v>1288</v>
      </c>
      <c r="C537" s="171" t="s">
        <v>2940</v>
      </c>
      <c r="D537" s="171" t="s">
        <v>2941</v>
      </c>
      <c r="E537" s="171" t="s">
        <v>1291</v>
      </c>
      <c r="F537" s="171" t="s">
        <v>425</v>
      </c>
      <c r="G537" s="171" t="s">
        <v>295</v>
      </c>
    </row>
    <row r="538" customFormat="false" ht="15" hidden="false" customHeight="false" outlineLevel="0" collapsed="false">
      <c r="A538" s="171" t="s">
        <v>2942</v>
      </c>
      <c r="B538" s="171" t="s">
        <v>1288</v>
      </c>
      <c r="C538" s="171" t="s">
        <v>2943</v>
      </c>
      <c r="D538" s="171" t="s">
        <v>2944</v>
      </c>
      <c r="E538" s="171" t="s">
        <v>1291</v>
      </c>
      <c r="F538" s="171" t="s">
        <v>1525</v>
      </c>
      <c r="G538" s="171" t="s">
        <v>710</v>
      </c>
    </row>
    <row r="539" customFormat="false" ht="15" hidden="false" customHeight="false" outlineLevel="0" collapsed="false">
      <c r="A539" s="171" t="s">
        <v>2945</v>
      </c>
      <c r="B539" s="171" t="s">
        <v>1288</v>
      </c>
      <c r="C539" s="171" t="s">
        <v>2946</v>
      </c>
      <c r="D539" s="171" t="s">
        <v>2947</v>
      </c>
      <c r="E539" s="171" t="s">
        <v>1291</v>
      </c>
      <c r="F539" s="171" t="s">
        <v>2106</v>
      </c>
      <c r="G539" s="171" t="s">
        <v>312</v>
      </c>
    </row>
    <row r="540" customFormat="false" ht="15" hidden="false" customHeight="false" outlineLevel="0" collapsed="false">
      <c r="A540" s="171" t="s">
        <v>2948</v>
      </c>
      <c r="B540" s="171" t="s">
        <v>1288</v>
      </c>
      <c r="C540" s="171" t="s">
        <v>2949</v>
      </c>
      <c r="D540" s="171" t="s">
        <v>2950</v>
      </c>
      <c r="E540" s="171" t="s">
        <v>1291</v>
      </c>
      <c r="F540" s="171" t="s">
        <v>927</v>
      </c>
      <c r="G540" s="171" t="s">
        <v>288</v>
      </c>
    </row>
    <row r="541" customFormat="false" ht="15" hidden="false" customHeight="false" outlineLevel="0" collapsed="false">
      <c r="A541" s="171" t="s">
        <v>2951</v>
      </c>
      <c r="B541" s="171" t="s">
        <v>1306</v>
      </c>
      <c r="C541" s="171" t="s">
        <v>2952</v>
      </c>
      <c r="D541" s="171" t="s">
        <v>2953</v>
      </c>
      <c r="E541" s="171" t="s">
        <v>1291</v>
      </c>
      <c r="F541" s="171" t="s">
        <v>465</v>
      </c>
      <c r="G541" s="171" t="s">
        <v>437</v>
      </c>
    </row>
    <row r="542" customFormat="false" ht="15" hidden="false" customHeight="false" outlineLevel="0" collapsed="false">
      <c r="A542" s="171" t="s">
        <v>2954</v>
      </c>
      <c r="B542" s="171" t="s">
        <v>1288</v>
      </c>
      <c r="C542" s="171" t="s">
        <v>2955</v>
      </c>
      <c r="D542" s="171" t="s">
        <v>2956</v>
      </c>
      <c r="E542" s="171" t="s">
        <v>1291</v>
      </c>
      <c r="F542" s="171" t="s">
        <v>2957</v>
      </c>
      <c r="G542" s="171" t="s">
        <v>2958</v>
      </c>
    </row>
    <row r="543" customFormat="false" ht="15" hidden="false" customHeight="false" outlineLevel="0" collapsed="false">
      <c r="A543" s="171" t="s">
        <v>2959</v>
      </c>
      <c r="B543" s="171" t="s">
        <v>1288</v>
      </c>
      <c r="C543" s="171" t="s">
        <v>2960</v>
      </c>
      <c r="D543" s="171" t="s">
        <v>2961</v>
      </c>
      <c r="E543" s="171" t="s">
        <v>1291</v>
      </c>
      <c r="F543" s="171" t="s">
        <v>1847</v>
      </c>
      <c r="G543" s="171" t="s">
        <v>747</v>
      </c>
    </row>
    <row r="544" customFormat="false" ht="15" hidden="false" customHeight="false" outlineLevel="0" collapsed="false">
      <c r="A544" s="171" t="s">
        <v>2962</v>
      </c>
      <c r="B544" s="171" t="s">
        <v>1288</v>
      </c>
      <c r="C544" s="171" t="s">
        <v>2963</v>
      </c>
      <c r="D544" s="171" t="s">
        <v>2964</v>
      </c>
      <c r="E544" s="171" t="s">
        <v>1291</v>
      </c>
      <c r="F544" s="171" t="s">
        <v>2322</v>
      </c>
      <c r="G544" s="171" t="s">
        <v>642</v>
      </c>
    </row>
    <row r="545" customFormat="false" ht="15" hidden="false" customHeight="false" outlineLevel="0" collapsed="false">
      <c r="A545" s="171" t="s">
        <v>2965</v>
      </c>
      <c r="B545" s="171" t="s">
        <v>1288</v>
      </c>
      <c r="C545" s="171" t="s">
        <v>2966</v>
      </c>
      <c r="D545" s="171" t="s">
        <v>2967</v>
      </c>
      <c r="E545" s="171" t="s">
        <v>1291</v>
      </c>
      <c r="F545" s="171" t="s">
        <v>1326</v>
      </c>
      <c r="G545" s="171" t="s">
        <v>173</v>
      </c>
    </row>
    <row r="546" customFormat="false" ht="15" hidden="false" customHeight="false" outlineLevel="0" collapsed="false">
      <c r="A546" s="171" t="s">
        <v>2968</v>
      </c>
      <c r="B546" s="171" t="s">
        <v>1288</v>
      </c>
      <c r="C546" s="171" t="s">
        <v>2969</v>
      </c>
      <c r="D546" s="171" t="s">
        <v>2970</v>
      </c>
      <c r="E546" s="171" t="s">
        <v>1291</v>
      </c>
      <c r="F546" s="171" t="s">
        <v>1593</v>
      </c>
      <c r="G546" s="171" t="s">
        <v>288</v>
      </c>
    </row>
    <row r="547" customFormat="false" ht="15" hidden="false" customHeight="false" outlineLevel="0" collapsed="false">
      <c r="A547" s="171" t="s">
        <v>67</v>
      </c>
      <c r="B547" s="171" t="s">
        <v>1288</v>
      </c>
      <c r="C547" s="171" t="s">
        <v>2971</v>
      </c>
      <c r="D547" s="171" t="s">
        <v>2972</v>
      </c>
      <c r="E547" s="171" t="s">
        <v>1291</v>
      </c>
      <c r="F547" s="171" t="s">
        <v>2831</v>
      </c>
      <c r="G547" s="171" t="s">
        <v>952</v>
      </c>
    </row>
    <row r="548" customFormat="false" ht="15" hidden="false" customHeight="false" outlineLevel="0" collapsed="false">
      <c r="A548" s="171" t="s">
        <v>2973</v>
      </c>
      <c r="B548" s="171" t="s">
        <v>1306</v>
      </c>
      <c r="C548" s="171" t="s">
        <v>2974</v>
      </c>
      <c r="D548" s="171" t="s">
        <v>2975</v>
      </c>
      <c r="E548" s="171" t="s">
        <v>1291</v>
      </c>
      <c r="F548" s="171" t="s">
        <v>2976</v>
      </c>
      <c r="G548" s="171" t="s">
        <v>1435</v>
      </c>
    </row>
    <row r="549" customFormat="false" ht="15" hidden="false" customHeight="false" outlineLevel="0" collapsed="false">
      <c r="A549" s="171" t="s">
        <v>2977</v>
      </c>
      <c r="B549" s="171" t="s">
        <v>1306</v>
      </c>
      <c r="C549" s="171" t="s">
        <v>2978</v>
      </c>
      <c r="D549" s="171" t="s">
        <v>2979</v>
      </c>
      <c r="E549" s="171" t="s">
        <v>1291</v>
      </c>
      <c r="F549" s="171" t="s">
        <v>844</v>
      </c>
      <c r="G549" s="171" t="s">
        <v>281</v>
      </c>
    </row>
    <row r="550" customFormat="false" ht="15" hidden="false" customHeight="false" outlineLevel="0" collapsed="false">
      <c r="A550" s="171" t="s">
        <v>2980</v>
      </c>
      <c r="B550" s="171" t="s">
        <v>1288</v>
      </c>
      <c r="C550" s="171" t="s">
        <v>2981</v>
      </c>
      <c r="D550" s="171" t="s">
        <v>2982</v>
      </c>
      <c r="E550" s="171" t="s">
        <v>1291</v>
      </c>
      <c r="F550" s="171" t="s">
        <v>1929</v>
      </c>
      <c r="G550" s="171" t="s">
        <v>437</v>
      </c>
    </row>
    <row r="551" customFormat="false" ht="15" hidden="false" customHeight="false" outlineLevel="0" collapsed="false">
      <c r="A551" s="171" t="s">
        <v>2983</v>
      </c>
      <c r="B551" s="171" t="s">
        <v>1288</v>
      </c>
      <c r="C551" s="171" t="s">
        <v>2984</v>
      </c>
      <c r="D551" s="171" t="s">
        <v>2985</v>
      </c>
      <c r="E551" s="171" t="s">
        <v>1291</v>
      </c>
      <c r="F551" s="171" t="s">
        <v>2986</v>
      </c>
      <c r="G551" s="171" t="s">
        <v>396</v>
      </c>
    </row>
    <row r="552" customFormat="false" ht="15" hidden="false" customHeight="false" outlineLevel="0" collapsed="false">
      <c r="A552" s="171" t="s">
        <v>2987</v>
      </c>
      <c r="B552" s="171" t="s">
        <v>1288</v>
      </c>
      <c r="C552" s="171" t="s">
        <v>2988</v>
      </c>
      <c r="D552" s="171" t="s">
        <v>2989</v>
      </c>
      <c r="E552" s="171" t="s">
        <v>1291</v>
      </c>
      <c r="F552" s="171" t="s">
        <v>2990</v>
      </c>
      <c r="G552" s="171" t="s">
        <v>2072</v>
      </c>
    </row>
    <row r="553" customFormat="false" ht="15" hidden="false" customHeight="false" outlineLevel="0" collapsed="false">
      <c r="A553" s="171" t="s">
        <v>2991</v>
      </c>
      <c r="B553" s="171" t="s">
        <v>1288</v>
      </c>
      <c r="C553" s="171" t="s">
        <v>2992</v>
      </c>
      <c r="D553" s="171" t="s">
        <v>2993</v>
      </c>
      <c r="E553" s="171" t="s">
        <v>1291</v>
      </c>
      <c r="F553" s="171" t="s">
        <v>312</v>
      </c>
      <c r="G553" s="171" t="s">
        <v>312</v>
      </c>
    </row>
    <row r="554" customFormat="false" ht="15" hidden="false" customHeight="false" outlineLevel="0" collapsed="false">
      <c r="A554" s="171" t="s">
        <v>2994</v>
      </c>
      <c r="B554" s="171" t="s">
        <v>1288</v>
      </c>
      <c r="C554" s="171" t="s">
        <v>2995</v>
      </c>
      <c r="D554" s="171" t="s">
        <v>2996</v>
      </c>
      <c r="E554" s="171" t="s">
        <v>1291</v>
      </c>
      <c r="F554" s="171" t="s">
        <v>179</v>
      </c>
      <c r="G554" s="171" t="s">
        <v>173</v>
      </c>
    </row>
    <row r="555" customFormat="false" ht="15" hidden="false" customHeight="false" outlineLevel="0" collapsed="false">
      <c r="A555" s="171" t="s">
        <v>2997</v>
      </c>
      <c r="B555" s="171" t="s">
        <v>1306</v>
      </c>
      <c r="C555" s="171" t="s">
        <v>2765</v>
      </c>
      <c r="D555" s="171" t="s">
        <v>2766</v>
      </c>
      <c r="E555" s="171" t="s">
        <v>1291</v>
      </c>
      <c r="F555" s="171" t="s">
        <v>1827</v>
      </c>
      <c r="G555" s="171" t="s">
        <v>173</v>
      </c>
    </row>
    <row r="556" customFormat="false" ht="15" hidden="false" customHeight="false" outlineLevel="0" collapsed="false">
      <c r="A556" s="171" t="s">
        <v>2998</v>
      </c>
      <c r="B556" s="171" t="s">
        <v>1306</v>
      </c>
      <c r="C556" s="171" t="s">
        <v>2999</v>
      </c>
      <c r="D556" s="171" t="s">
        <v>3000</v>
      </c>
      <c r="E556" s="171" t="s">
        <v>1291</v>
      </c>
      <c r="F556" s="171" t="s">
        <v>3001</v>
      </c>
      <c r="G556" s="171" t="s">
        <v>1344</v>
      </c>
    </row>
    <row r="557" customFormat="false" ht="15" hidden="false" customHeight="false" outlineLevel="0" collapsed="false">
      <c r="A557" s="171" t="s">
        <v>3002</v>
      </c>
      <c r="B557" s="171" t="s">
        <v>1306</v>
      </c>
      <c r="C557" s="171" t="s">
        <v>3003</v>
      </c>
      <c r="D557" s="171" t="s">
        <v>3004</v>
      </c>
      <c r="E557" s="171" t="s">
        <v>1291</v>
      </c>
      <c r="F557" s="171" t="s">
        <v>3005</v>
      </c>
      <c r="G557" s="171" t="s">
        <v>1435</v>
      </c>
    </row>
    <row r="558" customFormat="false" ht="15" hidden="false" customHeight="false" outlineLevel="0" collapsed="false">
      <c r="A558" s="171" t="s">
        <v>3006</v>
      </c>
      <c r="B558" s="171" t="s">
        <v>1288</v>
      </c>
      <c r="C558" s="171" t="s">
        <v>3007</v>
      </c>
      <c r="D558" s="171" t="s">
        <v>3008</v>
      </c>
      <c r="E558" s="171" t="s">
        <v>1291</v>
      </c>
      <c r="F558" s="171" t="s">
        <v>1525</v>
      </c>
      <c r="G558" s="171" t="s">
        <v>710</v>
      </c>
    </row>
    <row r="559" customFormat="false" ht="15" hidden="false" customHeight="false" outlineLevel="0" collapsed="false">
      <c r="A559" s="171" t="s">
        <v>3009</v>
      </c>
      <c r="B559" s="171" t="s">
        <v>1306</v>
      </c>
      <c r="C559" s="171" t="s">
        <v>3010</v>
      </c>
      <c r="D559" s="171" t="s">
        <v>3011</v>
      </c>
      <c r="E559" s="171" t="s">
        <v>1291</v>
      </c>
      <c r="F559" s="171" t="s">
        <v>3005</v>
      </c>
      <c r="G559" s="171" t="s">
        <v>1435</v>
      </c>
    </row>
    <row r="560" customFormat="false" ht="15" hidden="false" customHeight="false" outlineLevel="0" collapsed="false">
      <c r="A560" s="171" t="s">
        <v>3012</v>
      </c>
      <c r="B560" s="171" t="s">
        <v>1288</v>
      </c>
      <c r="C560" s="171" t="s">
        <v>2393</v>
      </c>
      <c r="D560" s="171" t="s">
        <v>2394</v>
      </c>
      <c r="E560" s="171" t="s">
        <v>1291</v>
      </c>
      <c r="F560" s="171" t="s">
        <v>1699</v>
      </c>
      <c r="G560" s="171" t="s">
        <v>839</v>
      </c>
    </row>
    <row r="561" customFormat="false" ht="15" hidden="false" customHeight="false" outlineLevel="0" collapsed="false">
      <c r="A561" s="171" t="s">
        <v>3013</v>
      </c>
      <c r="B561" s="171" t="s">
        <v>1306</v>
      </c>
      <c r="C561" s="171" t="s">
        <v>3014</v>
      </c>
      <c r="D561" s="171" t="s">
        <v>3015</v>
      </c>
      <c r="E561" s="171" t="s">
        <v>1291</v>
      </c>
      <c r="F561" s="171" t="s">
        <v>3016</v>
      </c>
      <c r="G561" s="171" t="s">
        <v>3017</v>
      </c>
    </row>
    <row r="562" customFormat="false" ht="15" hidden="false" customHeight="false" outlineLevel="0" collapsed="false">
      <c r="A562" s="171" t="s">
        <v>3018</v>
      </c>
      <c r="B562" s="171" t="s">
        <v>1288</v>
      </c>
      <c r="C562" s="171" t="s">
        <v>3019</v>
      </c>
      <c r="D562" s="171" t="s">
        <v>3020</v>
      </c>
      <c r="E562" s="171" t="s">
        <v>1291</v>
      </c>
      <c r="F562" s="171" t="s">
        <v>1087</v>
      </c>
      <c r="G562" s="171" t="s">
        <v>1088</v>
      </c>
    </row>
    <row r="563" customFormat="false" ht="15" hidden="false" customHeight="false" outlineLevel="0" collapsed="false">
      <c r="A563" s="171" t="s">
        <v>3021</v>
      </c>
      <c r="B563" s="171" t="s">
        <v>1288</v>
      </c>
      <c r="C563" s="171" t="s">
        <v>2134</v>
      </c>
      <c r="D563" s="171" t="s">
        <v>2135</v>
      </c>
      <c r="E563" s="171" t="s">
        <v>1291</v>
      </c>
      <c r="F563" s="171" t="s">
        <v>1779</v>
      </c>
      <c r="G563" s="171" t="s">
        <v>281</v>
      </c>
    </row>
    <row r="564" customFormat="false" ht="15" hidden="false" customHeight="false" outlineLevel="0" collapsed="false">
      <c r="A564" s="171" t="s">
        <v>3022</v>
      </c>
      <c r="B564" s="171" t="s">
        <v>1288</v>
      </c>
      <c r="C564" s="171" t="s">
        <v>3023</v>
      </c>
      <c r="D564" s="171" t="s">
        <v>3024</v>
      </c>
      <c r="E564" s="171" t="s">
        <v>1291</v>
      </c>
      <c r="F564" s="171" t="s">
        <v>2067</v>
      </c>
      <c r="G564" s="171" t="s">
        <v>295</v>
      </c>
    </row>
    <row r="565" customFormat="false" ht="15" hidden="false" customHeight="false" outlineLevel="0" collapsed="false">
      <c r="A565" s="171" t="s">
        <v>3025</v>
      </c>
      <c r="B565" s="171" t="s">
        <v>1288</v>
      </c>
      <c r="C565" s="171" t="s">
        <v>3026</v>
      </c>
      <c r="D565" s="171" t="s">
        <v>3027</v>
      </c>
      <c r="E565" s="171" t="s">
        <v>1291</v>
      </c>
      <c r="F565" s="171" t="s">
        <v>1827</v>
      </c>
      <c r="G565" s="171" t="s">
        <v>173</v>
      </c>
    </row>
    <row r="566" customFormat="false" ht="15" hidden="false" customHeight="false" outlineLevel="0" collapsed="false">
      <c r="A566" s="171" t="s">
        <v>3028</v>
      </c>
      <c r="B566" s="171" t="s">
        <v>1288</v>
      </c>
      <c r="C566" s="171" t="s">
        <v>3029</v>
      </c>
      <c r="D566" s="171" t="s">
        <v>3030</v>
      </c>
      <c r="E566" s="171" t="s">
        <v>1291</v>
      </c>
      <c r="F566" s="171" t="s">
        <v>1242</v>
      </c>
      <c r="G566" s="171" t="s">
        <v>1088</v>
      </c>
    </row>
    <row r="567" customFormat="false" ht="15" hidden="false" customHeight="false" outlineLevel="0" collapsed="false">
      <c r="A567" s="171" t="s">
        <v>3031</v>
      </c>
      <c r="B567" s="171" t="s">
        <v>1288</v>
      </c>
      <c r="C567" s="171" t="s">
        <v>3032</v>
      </c>
      <c r="D567" s="171" t="s">
        <v>3033</v>
      </c>
      <c r="E567" s="171" t="s">
        <v>1291</v>
      </c>
      <c r="F567" s="171" t="s">
        <v>2102</v>
      </c>
      <c r="G567" s="171" t="s">
        <v>288</v>
      </c>
    </row>
    <row r="568" customFormat="false" ht="15" hidden="false" customHeight="false" outlineLevel="0" collapsed="false">
      <c r="A568" s="171" t="s">
        <v>3034</v>
      </c>
      <c r="B568" s="171" t="s">
        <v>1306</v>
      </c>
      <c r="C568" s="171" t="s">
        <v>3035</v>
      </c>
      <c r="D568" s="171" t="s">
        <v>3036</v>
      </c>
      <c r="E568" s="171" t="s">
        <v>1291</v>
      </c>
      <c r="F568" s="171" t="s">
        <v>3037</v>
      </c>
      <c r="G568" s="171" t="s">
        <v>747</v>
      </c>
    </row>
    <row r="569" customFormat="false" ht="15" hidden="false" customHeight="false" outlineLevel="0" collapsed="false">
      <c r="A569" s="171" t="s">
        <v>3038</v>
      </c>
      <c r="B569" s="171" t="s">
        <v>1288</v>
      </c>
      <c r="C569" s="171" t="s">
        <v>3039</v>
      </c>
      <c r="D569" s="171" t="s">
        <v>3040</v>
      </c>
      <c r="E569" s="171" t="s">
        <v>1291</v>
      </c>
      <c r="F569" s="171" t="s">
        <v>1500</v>
      </c>
      <c r="G569" s="171" t="s">
        <v>396</v>
      </c>
    </row>
    <row r="570" customFormat="false" ht="15" hidden="false" customHeight="false" outlineLevel="0" collapsed="false">
      <c r="A570" s="171" t="s">
        <v>3041</v>
      </c>
      <c r="B570" s="171" t="s">
        <v>1306</v>
      </c>
      <c r="C570" s="171" t="s">
        <v>3042</v>
      </c>
      <c r="D570" s="171" t="s">
        <v>3043</v>
      </c>
      <c r="E570" s="171" t="s">
        <v>1291</v>
      </c>
      <c r="F570" s="171" t="s">
        <v>1140</v>
      </c>
      <c r="G570" s="171" t="s">
        <v>1102</v>
      </c>
    </row>
    <row r="571" customFormat="false" ht="15" hidden="false" customHeight="false" outlineLevel="0" collapsed="false">
      <c r="A571" s="171" t="s">
        <v>3044</v>
      </c>
      <c r="B571" s="171" t="s">
        <v>1306</v>
      </c>
      <c r="C571" s="171" t="s">
        <v>3045</v>
      </c>
      <c r="D571" s="171" t="s">
        <v>3046</v>
      </c>
      <c r="E571" s="171" t="s">
        <v>1291</v>
      </c>
      <c r="F571" s="171" t="s">
        <v>2226</v>
      </c>
      <c r="G571" s="171" t="s">
        <v>747</v>
      </c>
    </row>
    <row r="572" customFormat="false" ht="15" hidden="false" customHeight="false" outlineLevel="0" collapsed="false">
      <c r="A572" s="171" t="s">
        <v>3047</v>
      </c>
      <c r="B572" s="171" t="s">
        <v>1288</v>
      </c>
      <c r="C572" s="171" t="s">
        <v>3048</v>
      </c>
      <c r="D572" s="171" t="s">
        <v>3049</v>
      </c>
      <c r="E572" s="171" t="s">
        <v>1291</v>
      </c>
      <c r="F572" s="171" t="s">
        <v>288</v>
      </c>
      <c r="G572" s="171" t="s">
        <v>288</v>
      </c>
    </row>
    <row r="573" customFormat="false" ht="15" hidden="false" customHeight="false" outlineLevel="0" collapsed="false">
      <c r="A573" s="171" t="s">
        <v>153</v>
      </c>
      <c r="B573" s="171" t="s">
        <v>1288</v>
      </c>
      <c r="C573" s="171" t="s">
        <v>3050</v>
      </c>
      <c r="D573" s="171" t="s">
        <v>3051</v>
      </c>
      <c r="E573" s="171" t="s">
        <v>1291</v>
      </c>
      <c r="F573" s="171" t="s">
        <v>746</v>
      </c>
      <c r="G573" s="171" t="s">
        <v>747</v>
      </c>
    </row>
    <row r="574" customFormat="false" ht="15" hidden="false" customHeight="false" outlineLevel="0" collapsed="false">
      <c r="A574" s="171" t="s">
        <v>3052</v>
      </c>
      <c r="B574" s="171" t="s">
        <v>1306</v>
      </c>
      <c r="C574" s="171" t="s">
        <v>3053</v>
      </c>
      <c r="D574" s="171" t="s">
        <v>3054</v>
      </c>
      <c r="E574" s="171" t="s">
        <v>1291</v>
      </c>
      <c r="F574" s="171" t="s">
        <v>1115</v>
      </c>
      <c r="G574" s="171" t="s">
        <v>710</v>
      </c>
    </row>
    <row r="575" customFormat="false" ht="15" hidden="false" customHeight="false" outlineLevel="0" collapsed="false">
      <c r="A575" s="171" t="s">
        <v>93</v>
      </c>
      <c r="B575" s="171" t="s">
        <v>1288</v>
      </c>
      <c r="C575" s="171" t="s">
        <v>2955</v>
      </c>
      <c r="D575" s="171" t="s">
        <v>2956</v>
      </c>
      <c r="E575" s="171" t="s">
        <v>1291</v>
      </c>
      <c r="F575" s="171" t="s">
        <v>615</v>
      </c>
      <c r="G575" s="171" t="s">
        <v>274</v>
      </c>
    </row>
    <row r="576" customFormat="false" ht="15" hidden="false" customHeight="false" outlineLevel="0" collapsed="false">
      <c r="A576" s="171" t="s">
        <v>3055</v>
      </c>
      <c r="B576" s="171" t="s">
        <v>1288</v>
      </c>
      <c r="C576" s="171" t="s">
        <v>3056</v>
      </c>
      <c r="D576" s="171" t="s">
        <v>3057</v>
      </c>
      <c r="E576" s="171" t="s">
        <v>1291</v>
      </c>
      <c r="F576" s="171" t="s">
        <v>1450</v>
      </c>
      <c r="G576" s="171" t="s">
        <v>274</v>
      </c>
    </row>
    <row r="577" customFormat="false" ht="15" hidden="false" customHeight="false" outlineLevel="0" collapsed="false">
      <c r="A577" s="171" t="s">
        <v>3058</v>
      </c>
      <c r="B577" s="171" t="s">
        <v>1288</v>
      </c>
      <c r="C577" s="171" t="s">
        <v>2120</v>
      </c>
      <c r="D577" s="171" t="s">
        <v>2121</v>
      </c>
      <c r="E577" s="171" t="s">
        <v>1291</v>
      </c>
      <c r="F577" s="171" t="s">
        <v>796</v>
      </c>
      <c r="G577" s="171" t="s">
        <v>295</v>
      </c>
    </row>
    <row r="578" customFormat="false" ht="15" hidden="false" customHeight="false" outlineLevel="0" collapsed="false">
      <c r="A578" s="171" t="s">
        <v>3059</v>
      </c>
      <c r="B578" s="171" t="s">
        <v>1306</v>
      </c>
      <c r="C578" s="171" t="s">
        <v>3060</v>
      </c>
      <c r="D578" s="171" t="s">
        <v>3061</v>
      </c>
      <c r="E578" s="171" t="s">
        <v>1291</v>
      </c>
      <c r="F578" s="171" t="s">
        <v>1087</v>
      </c>
      <c r="G578" s="171" t="s">
        <v>1088</v>
      </c>
    </row>
    <row r="579" customFormat="false" ht="15" hidden="false" customHeight="false" outlineLevel="0" collapsed="false">
      <c r="A579" s="171" t="s">
        <v>3062</v>
      </c>
      <c r="B579" s="171" t="s">
        <v>1288</v>
      </c>
      <c r="C579" s="171" t="s">
        <v>3063</v>
      </c>
      <c r="D579" s="171" t="s">
        <v>3064</v>
      </c>
      <c r="E579" s="171" t="s">
        <v>1291</v>
      </c>
      <c r="F579" s="171" t="s">
        <v>2302</v>
      </c>
      <c r="G579" s="171" t="s">
        <v>288</v>
      </c>
    </row>
    <row r="580" customFormat="false" ht="15" hidden="false" customHeight="false" outlineLevel="0" collapsed="false">
      <c r="A580" s="171" t="s">
        <v>3065</v>
      </c>
      <c r="B580" s="171" t="s">
        <v>1288</v>
      </c>
      <c r="C580" s="171" t="s">
        <v>3066</v>
      </c>
      <c r="D580" s="171" t="s">
        <v>3067</v>
      </c>
      <c r="E580" s="171" t="s">
        <v>1291</v>
      </c>
      <c r="F580" s="171" t="s">
        <v>3068</v>
      </c>
      <c r="G580" s="171" t="s">
        <v>295</v>
      </c>
    </row>
    <row r="581" customFormat="false" ht="15" hidden="false" customHeight="false" outlineLevel="0" collapsed="false">
      <c r="A581" s="171" t="s">
        <v>3069</v>
      </c>
      <c r="B581" s="171" t="s">
        <v>1306</v>
      </c>
      <c r="C581" s="171" t="s">
        <v>3070</v>
      </c>
      <c r="D581" s="171" t="s">
        <v>3071</v>
      </c>
      <c r="E581" s="171" t="s">
        <v>1291</v>
      </c>
      <c r="F581" s="171" t="s">
        <v>1140</v>
      </c>
      <c r="G581" s="171" t="s">
        <v>1102</v>
      </c>
    </row>
    <row r="582" customFormat="false" ht="15" hidden="false" customHeight="false" outlineLevel="0" collapsed="false">
      <c r="A582" s="171" t="s">
        <v>3072</v>
      </c>
      <c r="B582" s="171" t="s">
        <v>1306</v>
      </c>
      <c r="C582" s="171" t="s">
        <v>3073</v>
      </c>
      <c r="D582" s="171" t="s">
        <v>3074</v>
      </c>
      <c r="E582" s="171" t="s">
        <v>1291</v>
      </c>
      <c r="F582" s="171" t="s">
        <v>1295</v>
      </c>
      <c r="G582" s="171" t="s">
        <v>295</v>
      </c>
    </row>
    <row r="583" customFormat="false" ht="15" hidden="false" customHeight="false" outlineLevel="0" collapsed="false">
      <c r="A583" s="171" t="s">
        <v>39</v>
      </c>
      <c r="B583" s="171" t="s">
        <v>1288</v>
      </c>
      <c r="C583" s="171" t="s">
        <v>3075</v>
      </c>
      <c r="D583" s="171" t="s">
        <v>713</v>
      </c>
      <c r="E583" s="171" t="s">
        <v>1291</v>
      </c>
      <c r="F583" s="171" t="s">
        <v>715</v>
      </c>
      <c r="G583" s="171" t="s">
        <v>295</v>
      </c>
    </row>
    <row r="584" customFormat="false" ht="15" hidden="false" customHeight="false" outlineLevel="0" collapsed="false">
      <c r="A584" s="171" t="s">
        <v>3076</v>
      </c>
      <c r="B584" s="171" t="s">
        <v>1306</v>
      </c>
      <c r="C584" s="171" t="s">
        <v>2560</v>
      </c>
      <c r="D584" s="171" t="s">
        <v>2561</v>
      </c>
      <c r="E584" s="171" t="s">
        <v>1291</v>
      </c>
      <c r="F584" s="171" t="s">
        <v>1929</v>
      </c>
      <c r="G584" s="171" t="s">
        <v>437</v>
      </c>
    </row>
    <row r="585" customFormat="false" ht="15" hidden="false" customHeight="false" outlineLevel="0" collapsed="false">
      <c r="A585" s="171" t="s">
        <v>3077</v>
      </c>
      <c r="B585" s="171" t="s">
        <v>1288</v>
      </c>
      <c r="C585" s="171" t="s">
        <v>3078</v>
      </c>
      <c r="D585" s="171" t="s">
        <v>3079</v>
      </c>
      <c r="E585" s="171" t="s">
        <v>1291</v>
      </c>
      <c r="F585" s="171" t="s">
        <v>2253</v>
      </c>
      <c r="G585" s="171" t="s">
        <v>642</v>
      </c>
    </row>
    <row r="586" customFormat="false" ht="15" hidden="false" customHeight="false" outlineLevel="0" collapsed="false">
      <c r="A586" s="171" t="s">
        <v>3080</v>
      </c>
      <c r="B586" s="171" t="s">
        <v>1288</v>
      </c>
      <c r="C586" s="171" t="s">
        <v>3081</v>
      </c>
      <c r="D586" s="171" t="s">
        <v>3082</v>
      </c>
      <c r="E586" s="171" t="s">
        <v>1291</v>
      </c>
      <c r="F586" s="171" t="s">
        <v>3083</v>
      </c>
      <c r="G586" s="171" t="s">
        <v>173</v>
      </c>
    </row>
    <row r="587" customFormat="false" ht="15" hidden="false" customHeight="false" outlineLevel="0" collapsed="false">
      <c r="A587" s="171" t="s">
        <v>3084</v>
      </c>
      <c r="B587" s="171" t="s">
        <v>1288</v>
      </c>
      <c r="C587" s="171" t="s">
        <v>3085</v>
      </c>
      <c r="D587" s="171" t="s">
        <v>3086</v>
      </c>
      <c r="E587" s="171" t="s">
        <v>1291</v>
      </c>
      <c r="F587" s="171" t="s">
        <v>2020</v>
      </c>
      <c r="G587" s="171" t="s">
        <v>677</v>
      </c>
    </row>
    <row r="588" customFormat="false" ht="15" hidden="false" customHeight="false" outlineLevel="0" collapsed="false">
      <c r="A588" s="171" t="s">
        <v>3087</v>
      </c>
      <c r="B588" s="171" t="s">
        <v>1306</v>
      </c>
      <c r="C588" s="171" t="s">
        <v>3088</v>
      </c>
      <c r="D588" s="171" t="s">
        <v>3089</v>
      </c>
      <c r="E588" s="171" t="s">
        <v>1291</v>
      </c>
      <c r="F588" s="171" t="s">
        <v>1334</v>
      </c>
      <c r="G588" s="171" t="s">
        <v>1102</v>
      </c>
    </row>
    <row r="589" customFormat="false" ht="15" hidden="false" customHeight="false" outlineLevel="0" collapsed="false">
      <c r="A589" s="171" t="s">
        <v>3090</v>
      </c>
      <c r="B589" s="171" t="s">
        <v>1288</v>
      </c>
      <c r="C589" s="171" t="s">
        <v>3091</v>
      </c>
      <c r="D589" s="171" t="s">
        <v>3092</v>
      </c>
      <c r="E589" s="171" t="s">
        <v>1291</v>
      </c>
      <c r="F589" s="171" t="s">
        <v>1847</v>
      </c>
      <c r="G589" s="171" t="s">
        <v>747</v>
      </c>
    </row>
    <row r="590" customFormat="false" ht="15" hidden="false" customHeight="false" outlineLevel="0" collapsed="false">
      <c r="A590" s="171" t="s">
        <v>3093</v>
      </c>
      <c r="B590" s="171" t="s">
        <v>1288</v>
      </c>
      <c r="C590" s="171" t="s">
        <v>3094</v>
      </c>
      <c r="D590" s="171" t="s">
        <v>3095</v>
      </c>
      <c r="E590" s="171" t="s">
        <v>1291</v>
      </c>
      <c r="F590" s="171" t="s">
        <v>1304</v>
      </c>
      <c r="G590" s="171" t="s">
        <v>642</v>
      </c>
    </row>
    <row r="591" customFormat="false" ht="15" hidden="false" customHeight="false" outlineLevel="0" collapsed="false">
      <c r="A591" s="171" t="s">
        <v>3096</v>
      </c>
      <c r="B591" s="171" t="s">
        <v>1288</v>
      </c>
      <c r="C591" s="171" t="s">
        <v>3097</v>
      </c>
      <c r="D591" s="171" t="s">
        <v>3098</v>
      </c>
      <c r="E591" s="171" t="s">
        <v>1291</v>
      </c>
      <c r="F591" s="171" t="s">
        <v>1779</v>
      </c>
      <c r="G591" s="171" t="s">
        <v>281</v>
      </c>
    </row>
    <row r="592" customFormat="false" ht="15" hidden="false" customHeight="false" outlineLevel="0" collapsed="false">
      <c r="A592" s="171" t="s">
        <v>3099</v>
      </c>
      <c r="B592" s="171" t="s">
        <v>1288</v>
      </c>
      <c r="C592" s="171" t="s">
        <v>3100</v>
      </c>
      <c r="D592" s="171" t="s">
        <v>3101</v>
      </c>
      <c r="E592" s="171" t="s">
        <v>1291</v>
      </c>
      <c r="F592" s="171" t="s">
        <v>1040</v>
      </c>
      <c r="G592" s="171" t="s">
        <v>710</v>
      </c>
    </row>
    <row r="593" customFormat="false" ht="15" hidden="false" customHeight="false" outlineLevel="0" collapsed="false">
      <c r="A593" s="171" t="s">
        <v>3102</v>
      </c>
      <c r="B593" s="171" t="s">
        <v>1306</v>
      </c>
      <c r="C593" s="171" t="s">
        <v>3103</v>
      </c>
      <c r="D593" s="171" t="s">
        <v>3104</v>
      </c>
      <c r="E593" s="171" t="s">
        <v>1291</v>
      </c>
      <c r="F593" s="171" t="s">
        <v>1295</v>
      </c>
      <c r="G593" s="171" t="s">
        <v>295</v>
      </c>
    </row>
    <row r="594" customFormat="false" ht="15" hidden="false" customHeight="false" outlineLevel="0" collapsed="false">
      <c r="A594" s="171" t="s">
        <v>3105</v>
      </c>
      <c r="B594" s="171" t="s">
        <v>1288</v>
      </c>
      <c r="C594" s="171" t="s">
        <v>3106</v>
      </c>
      <c r="D594" s="171" t="s">
        <v>3107</v>
      </c>
      <c r="E594" s="171" t="s">
        <v>1291</v>
      </c>
      <c r="F594" s="171" t="s">
        <v>3108</v>
      </c>
      <c r="G594" s="171" t="s">
        <v>396</v>
      </c>
    </row>
    <row r="595" customFormat="false" ht="15" hidden="false" customHeight="false" outlineLevel="0" collapsed="false">
      <c r="A595" s="171" t="s">
        <v>3109</v>
      </c>
      <c r="B595" s="171" t="s">
        <v>1288</v>
      </c>
      <c r="C595" s="171" t="s">
        <v>3110</v>
      </c>
      <c r="D595" s="171" t="s">
        <v>3111</v>
      </c>
      <c r="E595" s="171" t="s">
        <v>1291</v>
      </c>
      <c r="F595" s="171" t="s">
        <v>710</v>
      </c>
      <c r="G595" s="171" t="s">
        <v>710</v>
      </c>
    </row>
    <row r="596" customFormat="false" ht="15" hidden="false" customHeight="false" outlineLevel="0" collapsed="false">
      <c r="A596" s="171" t="s">
        <v>3112</v>
      </c>
      <c r="B596" s="171" t="s">
        <v>1306</v>
      </c>
      <c r="C596" s="171" t="s">
        <v>3113</v>
      </c>
      <c r="D596" s="171" t="s">
        <v>3114</v>
      </c>
      <c r="E596" s="171" t="s">
        <v>1291</v>
      </c>
      <c r="F596" s="171" t="s">
        <v>1827</v>
      </c>
      <c r="G596" s="171" t="s">
        <v>173</v>
      </c>
    </row>
    <row r="597" customFormat="false" ht="15" hidden="false" customHeight="false" outlineLevel="0" collapsed="false">
      <c r="A597" s="171" t="s">
        <v>3115</v>
      </c>
      <c r="B597" s="171" t="s">
        <v>1288</v>
      </c>
      <c r="C597" s="171" t="s">
        <v>3116</v>
      </c>
      <c r="D597" s="171" t="s">
        <v>3117</v>
      </c>
      <c r="E597" s="171" t="s">
        <v>1291</v>
      </c>
      <c r="F597" s="171" t="s">
        <v>1500</v>
      </c>
      <c r="G597" s="171" t="s">
        <v>396</v>
      </c>
    </row>
    <row r="598" customFormat="false" ht="15" hidden="false" customHeight="false" outlineLevel="0" collapsed="false">
      <c r="A598" s="171" t="s">
        <v>3118</v>
      </c>
      <c r="B598" s="171" t="s">
        <v>1288</v>
      </c>
      <c r="C598" s="171" t="s">
        <v>1720</v>
      </c>
      <c r="D598" s="171" t="s">
        <v>1721</v>
      </c>
      <c r="E598" s="171" t="s">
        <v>1291</v>
      </c>
      <c r="F598" s="171" t="s">
        <v>1722</v>
      </c>
      <c r="G598" s="171" t="s">
        <v>839</v>
      </c>
    </row>
    <row r="599" customFormat="false" ht="15" hidden="false" customHeight="false" outlineLevel="0" collapsed="false">
      <c r="A599" s="171" t="s">
        <v>3119</v>
      </c>
      <c r="B599" s="171" t="s">
        <v>1288</v>
      </c>
      <c r="C599" s="171" t="s">
        <v>3120</v>
      </c>
      <c r="D599" s="171" t="s">
        <v>3121</v>
      </c>
      <c r="E599" s="171" t="s">
        <v>1291</v>
      </c>
      <c r="F599" s="171" t="s">
        <v>1718</v>
      </c>
      <c r="G599" s="171" t="s">
        <v>2601</v>
      </c>
    </row>
    <row r="600" customFormat="false" ht="15" hidden="false" customHeight="false" outlineLevel="0" collapsed="false">
      <c r="A600" s="171" t="s">
        <v>3122</v>
      </c>
      <c r="B600" s="171" t="s">
        <v>1306</v>
      </c>
      <c r="C600" s="171" t="s">
        <v>3123</v>
      </c>
      <c r="D600" s="171" t="s">
        <v>3124</v>
      </c>
      <c r="E600" s="171" t="s">
        <v>1291</v>
      </c>
      <c r="F600" s="171" t="s">
        <v>642</v>
      </c>
      <c r="G600" s="171" t="s">
        <v>642</v>
      </c>
    </row>
    <row r="601" customFormat="false" ht="15" hidden="false" customHeight="false" outlineLevel="0" collapsed="false">
      <c r="A601" s="171" t="s">
        <v>3125</v>
      </c>
      <c r="B601" s="171" t="s">
        <v>1306</v>
      </c>
      <c r="C601" s="171" t="s">
        <v>3126</v>
      </c>
      <c r="D601" s="171" t="s">
        <v>3127</v>
      </c>
      <c r="E601" s="171" t="s">
        <v>1291</v>
      </c>
      <c r="F601" s="171" t="s">
        <v>3128</v>
      </c>
      <c r="G601" s="171" t="s">
        <v>1322</v>
      </c>
    </row>
    <row r="602" customFormat="false" ht="15" hidden="false" customHeight="false" outlineLevel="0" collapsed="false">
      <c r="A602" s="171" t="s">
        <v>3129</v>
      </c>
      <c r="B602" s="171" t="s">
        <v>1288</v>
      </c>
      <c r="C602" s="171" t="s">
        <v>3130</v>
      </c>
      <c r="D602" s="171" t="s">
        <v>3131</v>
      </c>
      <c r="E602" s="171" t="s">
        <v>1291</v>
      </c>
      <c r="F602" s="171" t="s">
        <v>1605</v>
      </c>
      <c r="G602" s="171" t="s">
        <v>260</v>
      </c>
    </row>
    <row r="603" customFormat="false" ht="15" hidden="false" customHeight="false" outlineLevel="0" collapsed="false">
      <c r="A603" s="171" t="s">
        <v>3132</v>
      </c>
      <c r="B603" s="171" t="s">
        <v>1288</v>
      </c>
      <c r="C603" s="171" t="s">
        <v>3133</v>
      </c>
      <c r="D603" s="171" t="s">
        <v>3134</v>
      </c>
      <c r="E603" s="171" t="s">
        <v>1291</v>
      </c>
      <c r="F603" s="171" t="s">
        <v>201</v>
      </c>
      <c r="G603" s="171" t="s">
        <v>268</v>
      </c>
    </row>
    <row r="604" customFormat="false" ht="15" hidden="false" customHeight="false" outlineLevel="0" collapsed="false">
      <c r="A604" s="171" t="s">
        <v>3135</v>
      </c>
      <c r="B604" s="171" t="s">
        <v>1288</v>
      </c>
      <c r="C604" s="171" t="s">
        <v>3136</v>
      </c>
      <c r="D604" s="171" t="s">
        <v>3137</v>
      </c>
      <c r="E604" s="171" t="s">
        <v>1291</v>
      </c>
      <c r="F604" s="171" t="s">
        <v>3138</v>
      </c>
      <c r="G604" s="171" t="s">
        <v>320</v>
      </c>
    </row>
    <row r="605" customFormat="false" ht="15" hidden="false" customHeight="false" outlineLevel="0" collapsed="false">
      <c r="A605" s="171" t="s">
        <v>3139</v>
      </c>
      <c r="B605" s="171" t="s">
        <v>1288</v>
      </c>
      <c r="C605" s="171" t="s">
        <v>3140</v>
      </c>
      <c r="D605" s="171" t="s">
        <v>3141</v>
      </c>
      <c r="E605" s="171" t="s">
        <v>1291</v>
      </c>
      <c r="F605" s="171" t="s">
        <v>2909</v>
      </c>
      <c r="G605" s="171" t="s">
        <v>642</v>
      </c>
    </row>
    <row r="606" customFormat="false" ht="15" hidden="false" customHeight="false" outlineLevel="0" collapsed="false">
      <c r="A606" s="171" t="s">
        <v>3142</v>
      </c>
      <c r="B606" s="171" t="s">
        <v>1288</v>
      </c>
      <c r="C606" s="171" t="s">
        <v>3143</v>
      </c>
      <c r="D606" s="171" t="s">
        <v>3144</v>
      </c>
      <c r="E606" s="171" t="s">
        <v>1291</v>
      </c>
      <c r="F606" s="171" t="s">
        <v>1352</v>
      </c>
      <c r="G606" s="171" t="s">
        <v>437</v>
      </c>
    </row>
    <row r="607" customFormat="false" ht="15" hidden="false" customHeight="false" outlineLevel="0" collapsed="false">
      <c r="A607" s="171" t="s">
        <v>3145</v>
      </c>
      <c r="B607" s="171" t="s">
        <v>1288</v>
      </c>
      <c r="C607" s="171" t="s">
        <v>3146</v>
      </c>
      <c r="D607" s="171" t="s">
        <v>3147</v>
      </c>
      <c r="E607" s="171" t="s">
        <v>1291</v>
      </c>
      <c r="F607" s="171" t="s">
        <v>710</v>
      </c>
      <c r="G607" s="171" t="s">
        <v>710</v>
      </c>
    </row>
    <row r="608" customFormat="false" ht="15" hidden="false" customHeight="false" outlineLevel="0" collapsed="false">
      <c r="A608" s="171" t="s">
        <v>3148</v>
      </c>
      <c r="B608" s="171" t="s">
        <v>1288</v>
      </c>
      <c r="C608" s="171" t="s">
        <v>3149</v>
      </c>
      <c r="D608" s="171" t="s">
        <v>3150</v>
      </c>
      <c r="E608" s="171" t="s">
        <v>1291</v>
      </c>
      <c r="F608" s="171" t="s">
        <v>838</v>
      </c>
      <c r="G608" s="171" t="s">
        <v>839</v>
      </c>
    </row>
    <row r="609" customFormat="false" ht="15" hidden="false" customHeight="false" outlineLevel="0" collapsed="false">
      <c r="A609" s="171" t="s">
        <v>3151</v>
      </c>
      <c r="B609" s="171" t="s">
        <v>1288</v>
      </c>
      <c r="C609" s="171" t="s">
        <v>3152</v>
      </c>
      <c r="D609" s="171" t="s">
        <v>3153</v>
      </c>
      <c r="E609" s="171" t="s">
        <v>1291</v>
      </c>
      <c r="F609" s="171" t="s">
        <v>3154</v>
      </c>
      <c r="G609" s="171" t="s">
        <v>320</v>
      </c>
    </row>
    <row r="610" customFormat="false" ht="15" hidden="false" customHeight="false" outlineLevel="0" collapsed="false">
      <c r="A610" s="171" t="s">
        <v>3155</v>
      </c>
      <c r="B610" s="171" t="s">
        <v>1288</v>
      </c>
      <c r="C610" s="171" t="s">
        <v>3156</v>
      </c>
      <c r="D610" s="171" t="s">
        <v>3157</v>
      </c>
      <c r="E610" s="171" t="s">
        <v>1291</v>
      </c>
      <c r="F610" s="171" t="s">
        <v>796</v>
      </c>
      <c r="G610" s="171" t="s">
        <v>295</v>
      </c>
    </row>
    <row r="611" customFormat="false" ht="15" hidden="false" customHeight="false" outlineLevel="0" collapsed="false">
      <c r="A611" s="171" t="s">
        <v>115</v>
      </c>
      <c r="B611" s="171" t="s">
        <v>1288</v>
      </c>
      <c r="C611" s="171" t="s">
        <v>3158</v>
      </c>
      <c r="D611" s="171" t="s">
        <v>3159</v>
      </c>
      <c r="E611" s="171" t="s">
        <v>1291</v>
      </c>
      <c r="F611" s="171" t="s">
        <v>1238</v>
      </c>
      <c r="G611" s="171" t="s">
        <v>710</v>
      </c>
    </row>
    <row r="612" customFormat="false" ht="15" hidden="false" customHeight="false" outlineLevel="0" collapsed="false">
      <c r="A612" s="171" t="s">
        <v>3160</v>
      </c>
      <c r="B612" s="171" t="s">
        <v>1306</v>
      </c>
      <c r="C612" s="171" t="s">
        <v>3161</v>
      </c>
      <c r="D612" s="171" t="s">
        <v>3162</v>
      </c>
      <c r="E612" s="171" t="s">
        <v>1291</v>
      </c>
      <c r="F612" s="171" t="s">
        <v>1550</v>
      </c>
      <c r="G612" s="171" t="s">
        <v>295</v>
      </c>
    </row>
    <row r="613" customFormat="false" ht="15" hidden="false" customHeight="false" outlineLevel="0" collapsed="false">
      <c r="A613" s="171" t="s">
        <v>3163</v>
      </c>
      <c r="B613" s="171" t="s">
        <v>1288</v>
      </c>
      <c r="C613" s="171" t="s">
        <v>3164</v>
      </c>
      <c r="D613" s="171" t="s">
        <v>3165</v>
      </c>
      <c r="E613" s="171" t="s">
        <v>1291</v>
      </c>
      <c r="F613" s="171" t="s">
        <v>1929</v>
      </c>
      <c r="G613" s="171" t="s">
        <v>437</v>
      </c>
    </row>
    <row r="614" customFormat="false" ht="15" hidden="false" customHeight="false" outlineLevel="0" collapsed="false">
      <c r="A614" s="171" t="s">
        <v>3166</v>
      </c>
      <c r="B614" s="171" t="s">
        <v>1306</v>
      </c>
      <c r="C614" s="171" t="s">
        <v>3167</v>
      </c>
      <c r="D614" s="171" t="s">
        <v>3168</v>
      </c>
      <c r="E614" s="171" t="s">
        <v>1291</v>
      </c>
      <c r="F614" s="171" t="s">
        <v>1334</v>
      </c>
      <c r="G614" s="171" t="s">
        <v>1102</v>
      </c>
    </row>
    <row r="615" customFormat="false" ht="15" hidden="false" customHeight="false" outlineLevel="0" collapsed="false">
      <c r="A615" s="171" t="s">
        <v>3169</v>
      </c>
      <c r="B615" s="171" t="s">
        <v>1306</v>
      </c>
      <c r="C615" s="171" t="s">
        <v>3170</v>
      </c>
      <c r="D615" s="171" t="s">
        <v>3171</v>
      </c>
      <c r="E615" s="171" t="s">
        <v>1291</v>
      </c>
      <c r="F615" s="171" t="s">
        <v>1087</v>
      </c>
      <c r="G615" s="171" t="s">
        <v>1088</v>
      </c>
    </row>
    <row r="616" customFormat="false" ht="15" hidden="false" customHeight="false" outlineLevel="0" collapsed="false">
      <c r="A616" s="171" t="s">
        <v>3172</v>
      </c>
      <c r="B616" s="171" t="s">
        <v>1288</v>
      </c>
      <c r="C616" s="171" t="s">
        <v>3173</v>
      </c>
      <c r="D616" s="171" t="s">
        <v>3174</v>
      </c>
      <c r="E616" s="171" t="s">
        <v>1291</v>
      </c>
      <c r="F616" s="171" t="s">
        <v>1815</v>
      </c>
      <c r="G616" s="171" t="s">
        <v>1815</v>
      </c>
    </row>
    <row r="617" customFormat="false" ht="15" hidden="false" customHeight="false" outlineLevel="0" collapsed="false">
      <c r="A617" s="171" t="s">
        <v>3175</v>
      </c>
      <c r="B617" s="171" t="s">
        <v>1288</v>
      </c>
      <c r="C617" s="171" t="s">
        <v>3176</v>
      </c>
      <c r="D617" s="171" t="s">
        <v>3177</v>
      </c>
      <c r="E617" s="171" t="s">
        <v>1291</v>
      </c>
      <c r="F617" s="171" t="s">
        <v>312</v>
      </c>
      <c r="G617" s="171" t="s">
        <v>312</v>
      </c>
    </row>
    <row r="618" customFormat="false" ht="15" hidden="false" customHeight="false" outlineLevel="0" collapsed="false">
      <c r="A618" s="171" t="s">
        <v>3178</v>
      </c>
      <c r="B618" s="171" t="s">
        <v>1288</v>
      </c>
      <c r="C618" s="171" t="s">
        <v>3179</v>
      </c>
      <c r="D618" s="171" t="s">
        <v>3180</v>
      </c>
      <c r="E618" s="171" t="s">
        <v>1291</v>
      </c>
      <c r="F618" s="171" t="s">
        <v>320</v>
      </c>
      <c r="G618" s="171" t="s">
        <v>320</v>
      </c>
    </row>
    <row r="619" customFormat="false" ht="15" hidden="false" customHeight="false" outlineLevel="0" collapsed="false">
      <c r="A619" s="171" t="s">
        <v>3181</v>
      </c>
      <c r="B619" s="171" t="s">
        <v>1288</v>
      </c>
      <c r="C619" s="171" t="s">
        <v>2738</v>
      </c>
      <c r="D619" s="171" t="s">
        <v>3182</v>
      </c>
      <c r="E619" s="171" t="s">
        <v>1291</v>
      </c>
      <c r="F619" s="171" t="s">
        <v>2596</v>
      </c>
      <c r="G619" s="171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2026-02-04T01:46:00Z</dcterms:created>
  <dc:creator>AjiSus_000170250</dc:creator>
  <dc:description/>
  <dc:language>en-US</dc:language>
  <cp:lastModifiedBy>AjiSus_000170250</cp:lastModifiedBy>
  <dcterms:modified xsi:type="dcterms:W3CDTF">2026-09-15T09:53:15Z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CAF47F68558D49FDAD567FE91812EB89</vt:lpwstr>
  </property>
  <property fmtid="{D5CDD505-2E9C-101B-9397-08002B2CF9AE}" pid="3" name="KSOProductBuildVer">
    <vt:lpwstr>1033-11.2.0.10223</vt:lpwstr>
  </property>
</Properties>
</file>